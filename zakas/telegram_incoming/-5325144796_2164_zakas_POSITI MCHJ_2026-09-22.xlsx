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 fullCalcOnLoad="1"/>
</workbook>
</file>

<file path=xl/sharedStrings.xml><?xml version="1.0" encoding="utf-8"?>
<sst xmlns="http://schemas.openxmlformats.org/spreadsheetml/2006/main" count="33" uniqueCount="33">
  <si>
    <t>POSITI MCHJ</t>
  </si>
  <si>
    <t>Наименование</t>
  </si>
  <si>
    <t>Штрих код</t>
  </si>
  <si>
    <t>Кол-во</t>
  </si>
  <si>
    <t>Цена</t>
  </si>
  <si>
    <t>Сумма</t>
  </si>
  <si>
    <t>coca-cola 500ml zero пэт</t>
  </si>
  <si>
    <t>4780069000680</t>
  </si>
  <si>
    <t>coca-cola 2l пэт</t>
  </si>
  <si>
    <t>4780069000734</t>
  </si>
  <si>
    <t>coca-cola zero 250ml ж/б</t>
  </si>
  <si>
    <t>4780069000512</t>
  </si>
  <si>
    <t>fuse tea mango-romashka 500ml</t>
  </si>
  <si>
    <t>4780069000840</t>
  </si>
  <si>
    <t>fanta 500ml пэт</t>
  </si>
  <si>
    <t>4780069000178</t>
  </si>
  <si>
    <t>sprite 500ml пэт</t>
  </si>
  <si>
    <t>4780069000215</t>
  </si>
  <si>
    <t>fuse tea mango ananas 1,5l</t>
  </si>
  <si>
    <t>4780069001151</t>
  </si>
  <si>
    <t>fuse tea limon 500ml</t>
  </si>
  <si>
    <t>4780069000277</t>
  </si>
  <si>
    <t>cappy pulpy apelsin 1l пэт</t>
  </si>
  <si>
    <t>4780069000376</t>
  </si>
  <si>
    <t>fuse tea ananas yalpiz 1l</t>
  </si>
  <si>
    <t>4780069000871</t>
  </si>
  <si>
    <t>fuse tea арбуза 1л</t>
  </si>
  <si>
    <t>4780069001298</t>
  </si>
  <si>
    <t>fanta dyushes 1l пэт</t>
  </si>
  <si>
    <t>4780069001052</t>
  </si>
  <si>
    <t>fanta dyushes 1,5l пэт</t>
  </si>
  <si>
    <t>4780069001069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</si>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</sst>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Zakas" displayName="Zakas" ref="A2:E16" totalsRowCount="1" headerRowCount="1">
  <autoFilter ref="A2:E15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Наименование" totalsRowLabel=""/>
    <tableColumn id="2" name="Штрих код" totalsRowFunction="none"/>
    <tableColumn id="3" name="Кол-во" totalsRowFunction="none"/>
    <tableColumn id="4" name="Цена" totalsRowFunction="none"/>
    <tableColumn id="5" name="Сумма" totalsRowFunction="sum">
      <calculatedColumnFormula>Zakas[[#This Row],[Кол-во]]*Zakas[[#This Row],[Цена]]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480</v>
      </c>
      <c r="D3" s="4">
        <v>5448.88</v>
      </c>
      <c r="E3" s="3">
        <f>Zakas[[#This Row],[Кол-во]]*Zakas[[#This Row],[Цена]]</f>
        <v>2615462.4</v>
      </c>
    </row>
    <row r="4" spans="1:5" x14ac:dyDescent="0.25">
      <c r="A4" t="s">
        <v>8</v>
      </c>
      <c r="B4" t="s">
        <v>9</v>
      </c>
      <c r="C4" s="3">
        <v>480</v>
      </c>
      <c r="D4" s="3">
        <v>14730</v>
      </c>
      <c r="E4" s="3">
        <f>Zakas[[#This Row],[Кол-во]]*Zakas[[#This Row],[Цена]]</f>
        <v>7070400</v>
      </c>
    </row>
    <row r="5" spans="1:5" x14ac:dyDescent="0.25">
      <c r="A5" t="s">
        <v>10</v>
      </c>
      <c r="B5" t="s">
        <v>11</v>
      </c>
      <c r="C5" s="3">
        <v>420</v>
      </c>
      <c r="D5" s="4">
        <v>4649.24</v>
      </c>
      <c r="E5" s="3">
        <f>Zakas[[#This Row],[Кол-во]]*Zakas[[#This Row],[Цена]]</f>
        <v>1952680.7999999998</v>
      </c>
    </row>
    <row r="6" spans="1:5" x14ac:dyDescent="0.25">
      <c r="A6" t="s">
        <v>12</v>
      </c>
      <c r="B6" t="s">
        <v>13</v>
      </c>
      <c r="C6" s="3">
        <v>372</v>
      </c>
      <c r="D6" s="4">
        <v>5448.88</v>
      </c>
      <c r="E6" s="3">
        <f>Zakas[[#This Row],[Кол-во]]*Zakas[[#This Row],[Цена]]</f>
        <v>2026983.36</v>
      </c>
    </row>
    <row r="7" spans="1:5" x14ac:dyDescent="0.25">
      <c r="A7" t="s">
        <v>14</v>
      </c>
      <c r="B7" t="s">
        <v>15</v>
      </c>
      <c r="C7" s="3">
        <v>312</v>
      </c>
      <c r="D7" s="4">
        <v>5448.88</v>
      </c>
      <c r="E7" s="3">
        <f>Zakas[[#This Row],[Кол-во]]*Zakas[[#This Row],[Цена]]</f>
        <v>1700050.56</v>
      </c>
    </row>
    <row r="8" spans="1:5" x14ac:dyDescent="0.25">
      <c r="A8" t="s">
        <v>16</v>
      </c>
      <c r="B8" t="s">
        <v>17</v>
      </c>
      <c r="C8" s="3">
        <v>216</v>
      </c>
      <c r="D8" s="4">
        <v>5448.91</v>
      </c>
      <c r="E8" s="3">
        <f>Zakas[[#This Row],[Кол-во]]*Zakas[[#This Row],[Цена]]</f>
        <v>1176964.56</v>
      </c>
    </row>
    <row r="9" spans="1:5" x14ac:dyDescent="0.25">
      <c r="A9" t="s">
        <v>18</v>
      </c>
      <c r="B9" t="s">
        <v>19</v>
      </c>
      <c r="C9" s="3">
        <v>120</v>
      </c>
      <c r="D9" s="4">
        <v>11622.56</v>
      </c>
      <c r="E9" s="3">
        <f>Zakas[[#This Row],[Кол-во]]*Zakas[[#This Row],[Цена]]</f>
        <v>1394707.2</v>
      </c>
    </row>
    <row r="10" spans="1:5" x14ac:dyDescent="0.25">
      <c r="A10" t="s">
        <v>20</v>
      </c>
      <c r="B10" t="s">
        <v>21</v>
      </c>
      <c r="C10" s="3">
        <v>60</v>
      </c>
      <c r="D10" s="4">
        <v>5448.88</v>
      </c>
      <c r="E10" s="3">
        <f>Zakas[[#This Row],[Кол-во]]*Zakas[[#This Row],[Цена]]</f>
        <v>326932.8</v>
      </c>
    </row>
    <row r="11" spans="1:5" x14ac:dyDescent="0.25">
      <c r="A11" t="s">
        <v>22</v>
      </c>
      <c r="B11" t="s">
        <v>23</v>
      </c>
      <c r="C11" s="3">
        <v>60</v>
      </c>
      <c r="D11" s="3">
        <v>13176</v>
      </c>
      <c r="E11" s="3">
        <f>Zakas[[#This Row],[Кол-во]]*Zakas[[#This Row],[Цена]]</f>
        <v>790560</v>
      </c>
    </row>
    <row r="12" spans="1:5" x14ac:dyDescent="0.25">
      <c r="A12" t="s">
        <v>24</v>
      </c>
      <c r="B12" t="s">
        <v>25</v>
      </c>
      <c r="C12" s="3">
        <v>48</v>
      </c>
      <c r="D12" s="4">
        <v>8523.77</v>
      </c>
      <c r="E12" s="3">
        <f>Zakas[[#This Row],[Кол-во]]*Zakas[[#This Row],[Цена]]</f>
        <v>409140.96</v>
      </c>
    </row>
    <row r="13" spans="1:5" x14ac:dyDescent="0.25">
      <c r="A13" t="s">
        <v>26</v>
      </c>
      <c r="B13" t="s">
        <v>27</v>
      </c>
      <c r="C13" s="3">
        <v>48</v>
      </c>
      <c r="D13" s="4">
        <v>8523.78</v>
      </c>
      <c r="E13" s="3">
        <f>Zakas[[#This Row],[Кол-во]]*Zakas[[#This Row],[Цена]]</f>
        <v>409141.44000000006</v>
      </c>
    </row>
    <row r="14" spans="1:5" x14ac:dyDescent="0.25">
      <c r="A14" t="s">
        <v>28</v>
      </c>
      <c r="B14" t="s">
        <v>29</v>
      </c>
      <c r="C14" s="3">
        <v>24</v>
      </c>
      <c r="D14" s="4">
        <v>8523.67</v>
      </c>
      <c r="E14" s="3">
        <f>Zakas[[#This Row],[Кол-во]]*Zakas[[#This Row],[Цена]]</f>
        <v>204568.08000000002</v>
      </c>
    </row>
    <row r="15" spans="1:5" x14ac:dyDescent="0.25">
      <c r="A15" t="s">
        <v>30</v>
      </c>
      <c r="B15" t="s">
        <v>31</v>
      </c>
      <c r="C15" s="3">
        <v>18</v>
      </c>
      <c r="D15" s="4">
        <v>11622.5</v>
      </c>
      <c r="E15" s="3">
        <f>Zakas[[#This Row],[Кол-во]]*Zakas[[#This Row],[Цена]]</f>
        <v>209205</v>
      </c>
    </row>
    <row r="16" spans="1:5" x14ac:dyDescent="0.25">
      <c r="D16" s="5" t="s">
        <v>32</v>
      </c>
      <c r="E16" s="6">
        <f>SUBTOTAL(109,Zakas[Сумма])</f>
        <v>20286797.16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2026-09-22T12:33:07Z</dcterms:created>
  <dcterms:modified xsi:type="dcterms:W3CDTF">2026-09-22T12:33:07Z</dcterms:modified>
</cp:coreProperties>
</file>
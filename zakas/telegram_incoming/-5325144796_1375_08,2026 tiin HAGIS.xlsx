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PC\Desktop\"/>
    </mc:Choice>
  </mc:AlternateContent>
  <bookViews>
    <workbookView xWindow="0" yWindow="0" windowWidth="23040" windowHeight="9192"/>
  </bookViews>
  <sheets>
    <sheet name="Лист1" sheetId="1" r:id="rId1"/>
  </sheets>
  <definedNames>
    <definedName name="_xlnm._FilterDatabase" localSheetId="0" hidden="1">Лист1!$A$3:$F$32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4" i="1"/>
  <c r="E32" i="1" l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<sst xmlns="http://schemas.openxmlformats.org/spreadsheetml/2006/main" count="36" uniqueCount="36">
  <si>
    <t>Название</t>
  </si>
  <si>
    <t>Цена</t>
  </si>
  <si>
    <t>СКИДКА</t>
  </si>
  <si>
    <t>Цена со скидкой</t>
  </si>
  <si>
    <t>Minipack Huggies</t>
  </si>
  <si>
    <t>Huggies UC OD Minipack (4) 4x20 Boy</t>
  </si>
  <si>
    <t>Huggies UC OD Minipack (4) 4x20 Girl</t>
  </si>
  <si>
    <t>Huggies Classic Pants (X-PAD) (4) 4x20</t>
  </si>
  <si>
    <t>Huggies Classic Pants (X-PAD) (5) 4x20</t>
  </si>
  <si>
    <t>Huggies Elite Soft (0+) Convy 25x8</t>
  </si>
  <si>
    <t>Huggies Elite Soft (1) Convy 20x8</t>
  </si>
  <si>
    <t>Huggies Elite Soft Conv (5) 17x8</t>
  </si>
  <si>
    <t>Huggies Elite Soft (2) Jumbo 50x2</t>
  </si>
  <si>
    <t>Huggies Elite Soft (3) Jumbo 40x4</t>
  </si>
  <si>
    <t>Huggies Elite Soft (4) Jumbo 33x4</t>
  </si>
  <si>
    <t>Huggies UC Giga (4) 80x2 Girl</t>
  </si>
  <si>
    <t>Huggies UC Giga (5) 64x2 Boy</t>
  </si>
  <si>
    <t>Huggies UC Giga (5) 64x2 Girl</t>
  </si>
  <si>
    <t>Huggies Pants Conv 5 15*4 Boy</t>
  </si>
  <si>
    <t>Huggies  Dry  eXpert  Jumbo  (4)  40x2</t>
  </si>
  <si>
    <t>Huggies  Dry  eXpert  Jumbo  (5)  36x2</t>
  </si>
  <si>
    <t>Huggies  Dry  eXpert  Jumbo  (6)  28x2</t>
  </si>
  <si>
    <t>Kotex Tampon Normal 16X12</t>
  </si>
  <si>
    <t>Kotex Tampon Super 16X12</t>
  </si>
  <si>
    <t>Kotex Tampon Normal 8X24</t>
  </si>
  <si>
    <t>Kotex Tampon Super 8X24</t>
  </si>
  <si>
    <t>KOTEX BIO-CARE NORMAL 8X10</t>
  </si>
  <si>
    <t>KOTEX MAXI PROTECT 9x16</t>
  </si>
  <si>
    <t>Kotex Natural Normal 8x10EE</t>
  </si>
  <si>
    <t>Kotex Natural OVN 6x16EE</t>
  </si>
  <si>
    <t>Прокладки КОТЕКС ультра сетч ночные 7x10</t>
  </si>
  <si>
    <t>Прокладки КОТЕКС ультра мягкий супер 8x10</t>
  </si>
  <si>
    <t>KOTEX BIO-CARE NIGHT 6X10</t>
  </si>
  <si>
    <t>Прокладки Kotex ультра сетч ночные 14х6</t>
  </si>
  <si>
    <t>ZAKAS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</si>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</sst>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C0C0C"/>
      <name val="sans-serif"/>
    </font>
    <font>
      <b/>
      <sz val="11"/>
      <name val="Calibri"/>
      <family val="2"/>
      <charset val="204"/>
    </font>
    <font>
      <b/>
      <sz val="8"/>
      <color rgb="FF0C0C0C"/>
      <name val="sans-serif"/>
      <charset val="204"/>
    </font>
    <font>
      <b/>
      <sz val="8"/>
      <color rgb="FF0C0C0C"/>
      <name val="sans-serif"/>
    </font>
    <font>
      <sz val="10"/>
      <color rgb="FF0C0C0C"/>
      <name val="sans-serif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top" wrapText="1"/>
    </xf>
    <xf numFmtId="9" fontId="3" fillId="0" borderId="0" xfId="2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0" fontId="4" fillId="0" borderId="0" xfId="0" applyFont="1" applyAlignment="1">
      <alignment vertical="top" wrapText="1"/>
    </xf>
    <xf numFmtId="0" fontId="5" fillId="2" borderId="2" xfId="0" applyFont="1" applyFill="1" applyBorder="1" applyAlignment="1">
      <alignment vertical="center" wrapText="1"/>
    </xf>
    <xf numFmtId="1" fontId="2" fillId="3" borderId="1" xfId="1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right" vertical="top" wrapText="1"/>
    </xf>
    <xf numFmtId="9" fontId="3" fillId="4" borderId="1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9" fontId="4" fillId="2" borderId="1" xfId="2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165" fontId="5" fillId="2" borderId="2" xfId="1" applyNumberFormat="1" applyFont="1" applyFill="1" applyBorder="1" applyAlignment="1">
      <alignment vertical="center" wrapText="1"/>
    </xf>
    <xf numFmtId="0" fontId="0" fillId="0" borderId="2" xfId="0" applyBorder="1"/>
    <xf numFmtId="0" fontId="7" fillId="4" borderId="1" xfId="0" applyFont="1" applyFill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13" workbookViewId="0">
      <selection activeCell="J26" sqref="J26"/>
    </sheetView>
  </sheetViews>
  <sheetFormatPr defaultRowHeight="14.4"/>
  <cols>
    <col min="1" max="1" width="19.88671875" style="11" customWidth="1"/>
    <col min="2" max="2" width="42.6640625" style="11" customWidth="1"/>
    <col min="3" max="3" width="12" style="11" customWidth="1"/>
    <col min="4" max="4" width="10" style="2"/>
    <col min="5" max="5" width="10.44140625" style="3" bestFit="1" customWidth="1"/>
  </cols>
  <sheetData>
    <row r="1" spans="1:7">
      <c r="A1" s="1"/>
      <c r="B1" s="1"/>
      <c r="C1" s="1"/>
    </row>
    <row r="2" spans="1:7">
      <c r="A2" s="4"/>
      <c r="B2" s="4"/>
      <c r="C2" s="4"/>
    </row>
    <row r="3" spans="1:7" ht="14.4" customHeight="1">
      <c r="A3" s="5" t="s">
        <v>4</v>
      </c>
      <c r="B3" s="16" t="s">
        <v>0</v>
      </c>
      <c r="C3" s="16" t="s">
        <v>1</v>
      </c>
      <c r="D3" s="12" t="s">
        <v>2</v>
      </c>
      <c r="E3" s="17" t="s">
        <v>3</v>
      </c>
      <c r="F3" s="15" t="s">
        <v>34</v>
      </c>
      <c r="G3" s="14" t="s">
        <v>35</v>
      </c>
    </row>
    <row r="4" spans="1:7">
      <c r="A4" s="6">
        <v>5029053591827</v>
      </c>
      <c r="B4" s="7" t="s">
        <v>5</v>
      </c>
      <c r="C4" s="8">
        <v>13200</v>
      </c>
      <c r="D4" s="9"/>
      <c r="E4" s="13">
        <f t="shared" ref="E4:E7" si="0">C4-(C4*D4)</f>
        <v>13200</v>
      </c>
      <c r="F4" s="18">
        <v>10</v>
      </c>
      <c r="G4" s="14">
        <f>F4*E4</f>
        <v>132000</v>
      </c>
    </row>
    <row r="5" spans="1:7">
      <c r="A5" s="6">
        <v>5029053591834</v>
      </c>
      <c r="B5" s="7" t="s">
        <v>6</v>
      </c>
      <c r="C5" s="8">
        <v>13200</v>
      </c>
      <c r="D5" s="9"/>
      <c r="E5" s="13">
        <f t="shared" si="0"/>
        <v>13200</v>
      </c>
      <c r="F5" s="18">
        <v>10</v>
      </c>
      <c r="G5" s="14">
        <f t="shared" ref="G5:G32" si="1">F5*E5</f>
        <v>132000</v>
      </c>
    </row>
    <row r="6" spans="1:7">
      <c r="A6" s="6">
        <v>5029053591865</v>
      </c>
      <c r="B6" s="7" t="s">
        <v>7</v>
      </c>
      <c r="C6" s="8">
        <v>10700</v>
      </c>
      <c r="D6" s="9">
        <v>0.2</v>
      </c>
      <c r="E6" s="13">
        <f t="shared" si="0"/>
        <v>8560</v>
      </c>
      <c r="F6" s="18">
        <v>10</v>
      </c>
      <c r="G6" s="14">
        <f t="shared" si="1"/>
        <v>85600</v>
      </c>
    </row>
    <row r="7" spans="1:7">
      <c r="A7" s="6">
        <v>5029053591872</v>
      </c>
      <c r="B7" s="7" t="s">
        <v>8</v>
      </c>
      <c r="C7" s="8">
        <v>10700</v>
      </c>
      <c r="D7" s="9">
        <v>0.2</v>
      </c>
      <c r="E7" s="13">
        <f t="shared" si="0"/>
        <v>8560</v>
      </c>
      <c r="F7" s="18">
        <v>10</v>
      </c>
      <c r="G7" s="14">
        <f t="shared" si="1"/>
        <v>85600</v>
      </c>
    </row>
    <row r="8" spans="1:7">
      <c r="A8" s="6">
        <v>5029053548005</v>
      </c>
      <c r="B8" s="7" t="s">
        <v>9</v>
      </c>
      <c r="C8" s="8">
        <v>57900</v>
      </c>
      <c r="D8" s="9">
        <v>0.1</v>
      </c>
      <c r="E8" s="13">
        <f>C8-(C8*D8)</f>
        <v>52110</v>
      </c>
      <c r="F8" s="18">
        <v>8</v>
      </c>
      <c r="G8" s="14">
        <f t="shared" si="1"/>
        <v>416880</v>
      </c>
    </row>
    <row r="9" spans="1:7">
      <c r="A9" s="6">
        <v>5029053549453</v>
      </c>
      <c r="B9" s="7" t="s">
        <v>10</v>
      </c>
      <c r="C9" s="8">
        <v>57900</v>
      </c>
      <c r="D9" s="9">
        <v>0.1</v>
      </c>
      <c r="E9" s="13">
        <f t="shared" ref="E9:E18" si="2">C9-(C9*D9)</f>
        <v>52110</v>
      </c>
      <c r="F9" s="18">
        <v>16</v>
      </c>
      <c r="G9" s="14">
        <f t="shared" si="1"/>
        <v>833760</v>
      </c>
    </row>
    <row r="10" spans="1:7">
      <c r="A10" s="6">
        <v>5029053549507</v>
      </c>
      <c r="B10" s="7" t="s">
        <v>11</v>
      </c>
      <c r="C10" s="8">
        <v>88300</v>
      </c>
      <c r="D10" s="9">
        <v>0.05</v>
      </c>
      <c r="E10" s="13">
        <f t="shared" si="2"/>
        <v>83885</v>
      </c>
      <c r="F10" s="18">
        <v>16</v>
      </c>
      <c r="G10" s="14">
        <f t="shared" si="1"/>
        <v>1342160</v>
      </c>
    </row>
    <row r="11" spans="1:7">
      <c r="A11" s="6">
        <v>5029053547978</v>
      </c>
      <c r="B11" s="7" t="s">
        <v>12</v>
      </c>
      <c r="C11" s="8">
        <v>129800</v>
      </c>
      <c r="D11" s="9">
        <v>0.05</v>
      </c>
      <c r="E11" s="13">
        <f t="shared" si="2"/>
        <v>123310</v>
      </c>
      <c r="F11" s="18">
        <v>4</v>
      </c>
      <c r="G11" s="14">
        <f t="shared" si="1"/>
        <v>493240</v>
      </c>
    </row>
    <row r="12" spans="1:7">
      <c r="A12" s="6">
        <v>5029053547770</v>
      </c>
      <c r="B12" s="7" t="s">
        <v>13</v>
      </c>
      <c r="C12" s="8">
        <v>168400</v>
      </c>
      <c r="D12" s="9">
        <v>0.1</v>
      </c>
      <c r="E12" s="13">
        <f t="shared" si="2"/>
        <v>151560</v>
      </c>
      <c r="F12" s="18">
        <v>4</v>
      </c>
      <c r="G12" s="14">
        <f t="shared" si="1"/>
        <v>606240</v>
      </c>
    </row>
    <row r="13" spans="1:7">
      <c r="A13" s="6">
        <v>5029053547787</v>
      </c>
      <c r="B13" s="7" t="s">
        <v>14</v>
      </c>
      <c r="C13" s="8">
        <v>168400</v>
      </c>
      <c r="D13" s="9">
        <v>0.1</v>
      </c>
      <c r="E13" s="13">
        <f t="shared" si="2"/>
        <v>151560</v>
      </c>
      <c r="F13" s="18">
        <v>4</v>
      </c>
      <c r="G13" s="14">
        <f t="shared" si="1"/>
        <v>606240</v>
      </c>
    </row>
    <row r="14" spans="1:7">
      <c r="A14" s="6">
        <v>5029053543680</v>
      </c>
      <c r="B14" s="7" t="s">
        <v>15</v>
      </c>
      <c r="C14" s="8">
        <v>276200</v>
      </c>
      <c r="D14" s="9">
        <v>0.25</v>
      </c>
      <c r="E14" s="13">
        <f t="shared" si="2"/>
        <v>207150</v>
      </c>
      <c r="F14" s="18">
        <v>8</v>
      </c>
      <c r="G14" s="14">
        <f t="shared" si="1"/>
        <v>1657200</v>
      </c>
    </row>
    <row r="15" spans="1:7">
      <c r="A15" s="6">
        <v>5029053543697</v>
      </c>
      <c r="B15" s="7" t="s">
        <v>16</v>
      </c>
      <c r="C15" s="8">
        <v>276200</v>
      </c>
      <c r="D15" s="9">
        <v>0.25</v>
      </c>
      <c r="E15" s="13">
        <f t="shared" si="2"/>
        <v>207150</v>
      </c>
      <c r="F15" s="18">
        <v>8</v>
      </c>
      <c r="G15" s="14">
        <f t="shared" si="1"/>
        <v>1657200</v>
      </c>
    </row>
    <row r="16" spans="1:7">
      <c r="A16" s="6">
        <v>5029053543703</v>
      </c>
      <c r="B16" s="7" t="s">
        <v>17</v>
      </c>
      <c r="C16" s="8">
        <v>276200</v>
      </c>
      <c r="D16" s="9">
        <v>0.25</v>
      </c>
      <c r="E16" s="13">
        <f t="shared" si="2"/>
        <v>207150</v>
      </c>
      <c r="F16" s="18">
        <v>8</v>
      </c>
      <c r="G16" s="14">
        <f t="shared" si="1"/>
        <v>1657200</v>
      </c>
    </row>
    <row r="17" spans="1:7">
      <c r="A17" s="6">
        <v>5029053547572</v>
      </c>
      <c r="B17" s="7" t="s">
        <v>18</v>
      </c>
      <c r="C17" s="8">
        <v>74600</v>
      </c>
      <c r="D17" s="9">
        <v>0.15</v>
      </c>
      <c r="E17" s="13">
        <f t="shared" si="2"/>
        <v>63410</v>
      </c>
      <c r="F17" s="18">
        <v>8</v>
      </c>
      <c r="G17" s="14">
        <f t="shared" si="1"/>
        <v>507280</v>
      </c>
    </row>
    <row r="18" spans="1:7">
      <c r="A18" s="6">
        <v>5029053591902</v>
      </c>
      <c r="B18" s="7" t="s">
        <v>19</v>
      </c>
      <c r="C18" s="8">
        <v>87100</v>
      </c>
      <c r="D18" s="9">
        <v>0.1</v>
      </c>
      <c r="E18" s="13">
        <f t="shared" si="2"/>
        <v>78390</v>
      </c>
      <c r="F18" s="18">
        <v>4</v>
      </c>
      <c r="G18" s="14">
        <f t="shared" si="1"/>
        <v>313560</v>
      </c>
    </row>
    <row r="19" spans="1:7">
      <c r="A19" s="6">
        <v>5029053591919</v>
      </c>
      <c r="B19" s="7" t="s">
        <v>20</v>
      </c>
      <c r="C19" s="8">
        <v>87100</v>
      </c>
      <c r="D19" s="9">
        <v>0.1</v>
      </c>
      <c r="E19" s="13">
        <f t="shared" ref="E19:E32" si="3">C19-(C19*D19)</f>
        <v>78390</v>
      </c>
      <c r="F19" s="18">
        <v>10</v>
      </c>
      <c r="G19" s="14">
        <f t="shared" si="1"/>
        <v>783900</v>
      </c>
    </row>
    <row r="20" spans="1:7">
      <c r="A20" s="6">
        <v>5029053591926</v>
      </c>
      <c r="B20" s="10" t="s">
        <v>21</v>
      </c>
      <c r="C20" s="8">
        <v>87100</v>
      </c>
      <c r="D20" s="9">
        <v>0.1</v>
      </c>
      <c r="E20" s="13">
        <f t="shared" si="3"/>
        <v>78390</v>
      </c>
      <c r="F20" s="18">
        <v>10</v>
      </c>
      <c r="G20" s="14">
        <f t="shared" si="1"/>
        <v>783900</v>
      </c>
    </row>
    <row r="21" spans="1:7">
      <c r="A21" s="6">
        <v>5029053534565</v>
      </c>
      <c r="B21" s="7" t="s">
        <v>22</v>
      </c>
      <c r="C21" s="8">
        <v>42900</v>
      </c>
      <c r="D21" s="9">
        <v>0.1</v>
      </c>
      <c r="E21" s="13">
        <f t="shared" si="3"/>
        <v>38610</v>
      </c>
      <c r="F21" s="18">
        <v>24</v>
      </c>
      <c r="G21" s="14">
        <f t="shared" si="1"/>
        <v>926640</v>
      </c>
    </row>
    <row r="22" spans="1:7">
      <c r="A22" s="6">
        <v>5029053534572</v>
      </c>
      <c r="B22" s="7" t="s">
        <v>23</v>
      </c>
      <c r="C22" s="8">
        <v>42900</v>
      </c>
      <c r="D22" s="9">
        <v>0.1</v>
      </c>
      <c r="E22" s="13">
        <f t="shared" si="3"/>
        <v>38610</v>
      </c>
      <c r="F22" s="18">
        <v>24</v>
      </c>
      <c r="G22" s="14">
        <f t="shared" si="1"/>
        <v>926640</v>
      </c>
    </row>
    <row r="23" spans="1:7">
      <c r="A23" s="6">
        <v>5029053534534</v>
      </c>
      <c r="B23" s="7" t="s">
        <v>24</v>
      </c>
      <c r="C23" s="8">
        <v>23900</v>
      </c>
      <c r="D23" s="9"/>
      <c r="E23" s="13">
        <f t="shared" si="3"/>
        <v>23900</v>
      </c>
      <c r="F23" s="18">
        <v>24</v>
      </c>
      <c r="G23" s="14">
        <f t="shared" si="1"/>
        <v>573600</v>
      </c>
    </row>
    <row r="24" spans="1:7">
      <c r="A24" s="6">
        <v>5029053534541</v>
      </c>
      <c r="B24" s="7" t="s">
        <v>25</v>
      </c>
      <c r="C24" s="8">
        <v>23900</v>
      </c>
      <c r="D24" s="9"/>
      <c r="E24" s="13">
        <f t="shared" si="3"/>
        <v>23900</v>
      </c>
      <c r="F24" s="18">
        <v>24</v>
      </c>
      <c r="G24" s="14">
        <f t="shared" si="1"/>
        <v>573600</v>
      </c>
    </row>
    <row r="25" spans="1:7">
      <c r="A25" s="6">
        <v>5029053590868</v>
      </c>
      <c r="B25" s="7" t="s">
        <v>26</v>
      </c>
      <c r="C25" s="8">
        <v>24200</v>
      </c>
      <c r="D25" s="9">
        <v>0.12</v>
      </c>
      <c r="E25" s="13">
        <f t="shared" si="3"/>
        <v>21296</v>
      </c>
      <c r="F25" s="18">
        <v>20</v>
      </c>
      <c r="G25" s="14">
        <f t="shared" si="1"/>
        <v>425920</v>
      </c>
    </row>
    <row r="26" spans="1:7">
      <c r="A26" s="6">
        <v>5029053591476</v>
      </c>
      <c r="B26" s="7" t="s">
        <v>27</v>
      </c>
      <c r="C26" s="8">
        <v>19800</v>
      </c>
      <c r="D26" s="9">
        <v>0.15</v>
      </c>
      <c r="E26" s="13">
        <f t="shared" si="3"/>
        <v>16830</v>
      </c>
      <c r="F26" s="18">
        <v>16</v>
      </c>
      <c r="G26" s="14">
        <f t="shared" si="1"/>
        <v>269280</v>
      </c>
    </row>
    <row r="27" spans="1:7">
      <c r="A27" s="6">
        <v>5029053575322</v>
      </c>
      <c r="B27" s="7" t="s">
        <v>28</v>
      </c>
      <c r="C27" s="8">
        <v>24200</v>
      </c>
      <c r="D27" s="9">
        <v>0.12</v>
      </c>
      <c r="E27" s="13">
        <f t="shared" si="3"/>
        <v>21296</v>
      </c>
      <c r="F27" s="18">
        <v>20</v>
      </c>
      <c r="G27" s="14">
        <f t="shared" si="1"/>
        <v>425920</v>
      </c>
    </row>
    <row r="28" spans="1:7">
      <c r="A28" s="6">
        <v>5029053575360</v>
      </c>
      <c r="B28" s="7" t="s">
        <v>29</v>
      </c>
      <c r="C28" s="8">
        <v>24200</v>
      </c>
      <c r="D28" s="9">
        <v>0.12</v>
      </c>
      <c r="E28" s="13">
        <f t="shared" si="3"/>
        <v>21296</v>
      </c>
      <c r="F28" s="18">
        <v>20</v>
      </c>
      <c r="G28" s="14">
        <f t="shared" si="1"/>
        <v>425920</v>
      </c>
    </row>
    <row r="29" spans="1:7">
      <c r="A29" s="6">
        <v>5029053540108</v>
      </c>
      <c r="B29" s="7" t="s">
        <v>30</v>
      </c>
      <c r="C29" s="8">
        <v>24200</v>
      </c>
      <c r="D29" s="9">
        <v>0.15</v>
      </c>
      <c r="E29" s="13">
        <f t="shared" si="3"/>
        <v>20570</v>
      </c>
      <c r="F29" s="18">
        <v>20</v>
      </c>
      <c r="G29" s="14">
        <f t="shared" si="1"/>
        <v>411400</v>
      </c>
    </row>
    <row r="30" spans="1:7">
      <c r="A30" s="6">
        <v>5029053542683</v>
      </c>
      <c r="B30" s="7" t="s">
        <v>31</v>
      </c>
      <c r="C30" s="8">
        <v>24200</v>
      </c>
      <c r="D30" s="9">
        <v>0.12</v>
      </c>
      <c r="E30" s="13">
        <f t="shared" si="3"/>
        <v>21296</v>
      </c>
      <c r="F30" s="18">
        <v>10</v>
      </c>
      <c r="G30" s="14">
        <f t="shared" si="1"/>
        <v>212960</v>
      </c>
    </row>
    <row r="31" spans="1:7">
      <c r="A31" s="6">
        <v>5029053590875</v>
      </c>
      <c r="B31" s="7" t="s">
        <v>32</v>
      </c>
      <c r="C31" s="8">
        <v>24200</v>
      </c>
      <c r="D31" s="9">
        <v>0.12</v>
      </c>
      <c r="E31" s="13">
        <f t="shared" si="3"/>
        <v>21296</v>
      </c>
      <c r="F31" s="18">
        <v>20</v>
      </c>
      <c r="G31" s="14">
        <f t="shared" si="1"/>
        <v>425920</v>
      </c>
    </row>
    <row r="32" spans="1:7">
      <c r="A32" s="6">
        <v>5029053545226</v>
      </c>
      <c r="B32" s="7" t="s">
        <v>33</v>
      </c>
      <c r="C32" s="8">
        <v>43400</v>
      </c>
      <c r="D32" s="9">
        <v>0.15</v>
      </c>
      <c r="E32" s="13">
        <f t="shared" si="3"/>
        <v>36890</v>
      </c>
      <c r="F32" s="18">
        <v>12</v>
      </c>
      <c r="G32" s="14">
        <f t="shared" si="1"/>
        <v>442680</v>
      </c>
    </row>
    <row r="33" spans="7:7">
      <c r="G33" s="19">
        <f>SUM(G4:G32)</f>
        <v>18134440</v>
      </c>
    </row>
  </sheetData>
  <autoFilter ref="A3:F3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Lenovo PC</cp:lastModifiedBy>
  <dcterms:created xsi:type="dcterms:W3CDTF">2015-06-05T18:19:34Z</dcterms:created>
  <dcterms:modified xsi:type="dcterms:W3CDTF">2026-08-26T07:38:55Z</dcterms:modified>
</cp:coreProperties>
</file>
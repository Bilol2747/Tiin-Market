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akhongir.obidov\Desktop\"/>
    </mc:Choice>
  </mc:AlternateContent>
  <xr:revisionPtr revIDLastSave="0" documentId="8_{229D16AB-1D1A-4CB8-B4F0-34B546435A48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_xlnm._FilterDatabase" localSheetId="2" hidden="1">Лист3!$B$2:$I$93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2" i="3" l="1"/>
  <c r="C91" i="3"/>
  <c r="C74" i="3"/>
  <c r="C69" i="3"/>
  <c r="C67" i="3"/>
  <c r="C62" i="3"/>
  <c r="C58" i="3"/>
  <c r="C55" i="3"/>
  <c r="C42" i="3"/>
  <c r="C41" i="3"/>
  <c r="C40" i="3"/>
  <c r="C38" i="3"/>
  <c r="C12" i="3"/>
  <c r="G9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3" i="3"/>
  <c r="H104" i="2"/>
  <c r="H93" i="3" l="1"/>
  <c r="I93" i="3"/>
</calcChain>
</file>

<file path=xl/sharedStrings.xml><?xml version="1.0" encoding="utf-8"?>
<sst xmlns="http://schemas.openxmlformats.org/spreadsheetml/2006/main" count="710" uniqueCount="250">
  <si>
    <t>Код</t>
  </si>
  <si>
    <t>Штрихкод</t>
  </si>
  <si>
    <t>Продукт</t>
  </si>
  <si>
    <t>Цена</t>
  </si>
  <si>
    <t>Шт</t>
  </si>
  <si>
    <t>Сумма</t>
  </si>
  <si>
    <t>ФР-77202370</t>
  </si>
  <si>
    <t>biomed Зуб. Щетка SENSITIVE ULTRA SOFT PINK SALT 1X12X4</t>
  </si>
  <si>
    <t>ФР-77198768</t>
  </si>
  <si>
    <t>biomed Зуб. Щетка Щетина с Вулканическими минералами MINERAL HARD 4X12</t>
  </si>
  <si>
    <t>SP-145</t>
  </si>
  <si>
    <t>biomed Зуб. Щетка Щетина с Древесным Углем  2024 MEDIUM 1+1 Black 1X8</t>
  </si>
  <si>
    <t>SP-185</t>
  </si>
  <si>
    <t>biomed Зуб. Щетка WHITE PEARL MEDIUM 1X4X12</t>
  </si>
  <si>
    <t>ФР-77198803</t>
  </si>
  <si>
    <t>biomed Зуб. Щетка Щетина с Древесным Углем  2024 MEDIUM 2+1 Step To Green 1X8</t>
  </si>
  <si>
    <t>ФР-77198769</t>
  </si>
  <si>
    <t>biomed Зуб. Щетка Щетина с Древесным Углем 2024 MEDIUM 4X12</t>
  </si>
  <si>
    <t>ФР-77198770</t>
  </si>
  <si>
    <t>biomed Зуб. Щетка Щетина с Ионами Серебра 2024 MEDIUM 4X12</t>
  </si>
  <si>
    <t>ФР-77198772</t>
  </si>
  <si>
    <t>biomed Комплексный Ополаскиватель VITAFRESH 250 мл 1Х24</t>
  </si>
  <si>
    <t>ФР-77198733</t>
  </si>
  <si>
    <t>BioMio Baby Натуральное Детское Крем Мыло с маслом Ши 90 гр 1X24</t>
  </si>
  <si>
    <t>SP-141</t>
  </si>
  <si>
    <t>BioMio Натуральное Мыло ГРАНАТ И БАЗИЛИК 90 гр 1X24</t>
  </si>
  <si>
    <t>ФР-77202196</t>
  </si>
  <si>
    <t>BioMio Экологичное Мыло БАТТЕР МАНГО 90 гр 1X24</t>
  </si>
  <si>
    <t>SP-159</t>
  </si>
  <si>
    <t>BioMio Экологичное Мыло БЕРГАМОТ И ЗЕЛЕНЫЙ ЧАЙ 90 гр 1X24</t>
  </si>
  <si>
    <t>ФР-77202195</t>
  </si>
  <si>
    <t>BioMio Экологичное Мыло ИНЖИР И БАТТЕР КОКОС 90 гр 1X24</t>
  </si>
  <si>
    <t>SP-158</t>
  </si>
  <si>
    <t>BioMio Экологичное Мыло ЛАВАНДА И ЖАСМИН 90 гр 1X24</t>
  </si>
  <si>
    <t>ФР-77202197</t>
  </si>
  <si>
    <t>BioMio Экологичное Мыло ПЕРСИК И БАТТЕР ШИ 90 гр 1X24</t>
  </si>
  <si>
    <t>ФР-77198759</t>
  </si>
  <si>
    <t>BioMio Экологичное Хозяйственное Мыло БЕЗ ЗАПАХА 200 гр 1X16</t>
  </si>
  <si>
    <t>ФР-77198807</t>
  </si>
  <si>
    <t>SPLAT JUICY Зуб. Паста с Гидро-м кальция КИВИ-КЛУБНИКА 35 мл 1Х20</t>
  </si>
  <si>
    <t>ФР-77198808</t>
  </si>
  <si>
    <t>SPLAT JUICY Зуб. Паста с Гидро-м кальция МОРОЖЕНОЕ 35 мл 1Х20</t>
  </si>
  <si>
    <t>ФР-77198810</t>
  </si>
  <si>
    <t>SPLAT JUICY Зуб. Паста с Гидро-м кальция ТУТТИ-ФРУТТИ 35 мл 1Х20</t>
  </si>
  <si>
    <t>ФР-77198811</t>
  </si>
  <si>
    <t>SPLAT JUICY Зуб. Щетка МАГИЯ ЕДИНОРОГА 1Х12</t>
  </si>
  <si>
    <t>ФР-77198812</t>
  </si>
  <si>
    <t>SPLAT JUICY Зуб. Щетка МАГИЯ ЕДИНОРОГА Жемчужная 1Х12</t>
  </si>
  <si>
    <t>ФР-77198813</t>
  </si>
  <si>
    <t>SPLAT JUNIOR Зуб. Паста БАБЛ ГАМ 6-11 лет 55 мл 1Х20</t>
  </si>
  <si>
    <t>ФР-77198816</t>
  </si>
  <si>
    <t>SPLAT JUNIOR Зуб. Паста ЯГОДНЫЙ КОКТЕЙЛЬ 6-11 лет 55 мл 1Х20</t>
  </si>
  <si>
    <t>ФР-77198817</t>
  </si>
  <si>
    <t>SPLAT JUNIOR Зуб. Щетка SO'HAPPY SOFT 1X12</t>
  </si>
  <si>
    <t>ФР-77198818</t>
  </si>
  <si>
    <t>SPLAT KIDS Зуб. Паста Земляника Вишня 2-6 лет 50 мл 1Х20</t>
  </si>
  <si>
    <t>ФР-77198820</t>
  </si>
  <si>
    <t>SPLAT KIDS Зуб. Паста Фруктовое Мороженое 2-6 лет 50 мл 1Х20</t>
  </si>
  <si>
    <t>ФР-77198776</t>
  </si>
  <si>
    <t>SPLAT PF Зуб. Нить DENTAL FLOSS Bergamot - Lime 30 m 1Х4Х6</t>
  </si>
  <si>
    <t>ФР-77198778</t>
  </si>
  <si>
    <t>SPLAT PF Зуб. Нить DENTAL FLOSS Extra mint 30 m 1Х4Х6</t>
  </si>
  <si>
    <t>ФР-77198779</t>
  </si>
  <si>
    <t>SPLAT PF Зуб. Нить DENTAL FLOSS Strawberry 30 m 1Х4Х6</t>
  </si>
  <si>
    <t>SP-166</t>
  </si>
  <si>
    <t>SPLAT PF Зуб. Паста БИОКАЛЬЦИЙ 100 г 1X25 new</t>
  </si>
  <si>
    <t>SP-171</t>
  </si>
  <si>
    <t>SPLAT PF Зуб. Паста ВОССТАНОВЛЕНИЕ ПЛЮС 100 г 1X25</t>
  </si>
  <si>
    <t>SP-172</t>
  </si>
  <si>
    <t>SPLAT PF Зуб. Паста ЗДОРОВЫЕ ДЕСНЫ 100 г 1X25</t>
  </si>
  <si>
    <t>SP-167</t>
  </si>
  <si>
    <t>SPLAT PF Зуб. Паста ЛЕЧЕБНЫЕ ТРАВЫ 100 г 1X25 new</t>
  </si>
  <si>
    <t>SP-168</t>
  </si>
  <si>
    <t>SPLAT PF Зуб. Паста ОТБЕЛИВАНИЕ ПЛЮС 100 г 1X25 new</t>
  </si>
  <si>
    <t>ФР-77198784</t>
  </si>
  <si>
    <t>SPLAT PF Зуб. Щетка CLINIC CARE Medium 1X12</t>
  </si>
  <si>
    <t>SP-164</t>
  </si>
  <si>
    <t>SPLAT PF Зуб. Щетка SMILEX ORTHO + SOFT 1X12</t>
  </si>
  <si>
    <t>ФР-77202268</t>
  </si>
  <si>
    <t>SPLAT PF Зуб. Щетка ULTRA CLEAN HARD 1X12</t>
  </si>
  <si>
    <t>ФР-77198851</t>
  </si>
  <si>
    <t>SPLAT PF Зуб. Щетка ULTRA complete MEDIUM 1X12</t>
  </si>
  <si>
    <t>ФР-77198852</t>
  </si>
  <si>
    <t>SPLAT PF Зуб. Щетка ULTRA SENSITIVE MEDIUM 1X12</t>
  </si>
  <si>
    <t>ФР-77198853</t>
  </si>
  <si>
    <t>SPLAT PF Зуб. Щетка ULTRA SENSITIVE OPTIMAL SOFT 1X12</t>
  </si>
  <si>
    <t>ФР-77198854</t>
  </si>
  <si>
    <t>SPLAT PF Зуб. Щетка ULTRA white OPTIMAL SOFT 1X12</t>
  </si>
  <si>
    <t>ФР-77198855</t>
  </si>
  <si>
    <t>SPLAT PF Зуб. Щетка WHETINING HARD 4X12</t>
  </si>
  <si>
    <t>ФР-77198856</t>
  </si>
  <si>
    <t>SPLAT PF Зуб. Щетка WHETINING MEDIUM 4X12</t>
  </si>
  <si>
    <t>ФР-77198864</t>
  </si>
  <si>
    <t>SPLAT SPECIAL Зуб. Паста BLACKWOOD dark mint 75 мл 1Х20</t>
  </si>
  <si>
    <t>ФР-77198865</t>
  </si>
  <si>
    <t>SPLAT SPECIAL Зуб. Паста COFFEE OUT 75 мл 1Х20</t>
  </si>
  <si>
    <t>ФР-77198867</t>
  </si>
  <si>
    <t>SPLAT SPECIAL Зуб. Паста EXTREME WHITE mint 75 мл 1Х20</t>
  </si>
  <si>
    <t>ФР-77198871</t>
  </si>
  <si>
    <t>SPLAT SPECIAL Зуб. Паста WONDER WHITE purple mint 75 мл 1Х20</t>
  </si>
  <si>
    <t>SP-218</t>
  </si>
  <si>
    <t>biomed Healthywhite Зуб. Паста Гуава 65 гр 1Х12</t>
  </si>
  <si>
    <t>SP-219</t>
  </si>
  <si>
    <t>biomed Healthywhite Зуб. Паста Клубника 65 гр 1Х12</t>
  </si>
  <si>
    <t>SP-220</t>
  </si>
  <si>
    <t>biomed Healthywhite Зуб. Паста Лесная Мята 65 гр 1Х12</t>
  </si>
  <si>
    <t>SP-221</t>
  </si>
  <si>
    <t>biomed Healthywhite Зуб. Паста Свежий Огурец и Мята 65 гр 1Х12</t>
  </si>
  <si>
    <t>SP-254</t>
  </si>
  <si>
    <t>biomed Детская Зуб. Щетка с Ионами Серебра МЯГКАЯ от 2 лет 1X4X12</t>
  </si>
  <si>
    <t>SP-246</t>
  </si>
  <si>
    <t>biomed Зуб. Паста МЯТНЫЙ ШТОРМ 100 гр 1Х25</t>
  </si>
  <si>
    <t>SP-232</t>
  </si>
  <si>
    <t>biomed Зуб. Паста ОТБЕЛИВАНИЕ С КОКОСОМ 100 гр 1Х25</t>
  </si>
  <si>
    <t>SP-008/1</t>
  </si>
  <si>
    <t>biomed Зуб. Паста ОТБЕЛИВАНИЕ С УГЛЕМ 100 гр 1Х25</t>
  </si>
  <si>
    <t>SP-274</t>
  </si>
  <si>
    <t>biomed Зуб. Щетка MAX HARD 1X4X12</t>
  </si>
  <si>
    <t>SP-190</t>
  </si>
  <si>
    <t>biomed Зуб. Щетка MAX MEDIUM 1X4X12</t>
  </si>
  <si>
    <t>SP-214</t>
  </si>
  <si>
    <t>biomed Зуб. Щетка Щетина с Ионами Серебра MEDIUM 1+1 1X50</t>
  </si>
  <si>
    <t>SP-252</t>
  </si>
  <si>
    <t>biomed Комплексный Ополаскиватель ЗДОРОВЬЕ ДЕСЕН 250 мл 1Х24</t>
  </si>
  <si>
    <t>SP-279</t>
  </si>
  <si>
    <t>biomed Комплексный Ополаскиватель Мятный шторм 500 мл 1Х20</t>
  </si>
  <si>
    <t>SP-200</t>
  </si>
  <si>
    <t>BioMio Жидкое Мыло С Апельсин Бергамот 300 мл  1X12</t>
  </si>
  <si>
    <t>SP-198</t>
  </si>
  <si>
    <t>BioMio Жидкое Мыло С Персик Фрезия 300 мл  1X12</t>
  </si>
  <si>
    <t>SP-196</t>
  </si>
  <si>
    <t>BioMio Кондиционер для Белья С Апельсин грушевый цвет 800 мл  1X6</t>
  </si>
  <si>
    <t>SP-195</t>
  </si>
  <si>
    <t>BioMio Кондиционер для Белья С Пион лесные ягоды 800 мл  1X6</t>
  </si>
  <si>
    <t>SP-188</t>
  </si>
  <si>
    <t>BioMio Концентрат для стирки Универсальный БЕЗ ЗАПАХА 2,4 кг 1X4</t>
  </si>
  <si>
    <t>SP-253</t>
  </si>
  <si>
    <t>BioMio Натуральный гель для душа Инжир-Кокос 250 мл 1*10</t>
  </si>
  <si>
    <t>SP-241</t>
  </si>
  <si>
    <t>BioMio Натуральный гель для душа ЛАВАНДА И ЖАСМИН 250 мл 1*10</t>
  </si>
  <si>
    <t>SP-197</t>
  </si>
  <si>
    <t>BioMio Натуральный гель для душа Персик Фрезия 250 мл 1*10</t>
  </si>
  <si>
    <t>SP-256</t>
  </si>
  <si>
    <t>BioMio Средство для Посуды Овощей и Фруктов С ЭФИРНЫМ МАСЛОМ БЕЗ ЗАПАХА 450 мл 1X12</t>
  </si>
  <si>
    <t>SP-255</t>
  </si>
  <si>
    <t>BioMio Средство для Посуды Овощей и Фруктов С ЭФИРНЫМ МАСЛОМ МАНДАРИНА 450 мл 1X12</t>
  </si>
  <si>
    <t>SP-209</t>
  </si>
  <si>
    <t>BioMio Стиральный порошок для Белого белья с Кислородным Отбеливанием 1 кг 1Х6</t>
  </si>
  <si>
    <t>SP-208</t>
  </si>
  <si>
    <t>BioMio Стиральный порошок для Детского белья с Экстрактом Хлопка 1 кг 1Х6</t>
  </si>
  <si>
    <t>ФР-77203297</t>
  </si>
  <si>
    <t>BioMio Стиральный порошок для Цветного белья с Ионами Серебра 1 кг 1Х6</t>
  </si>
  <si>
    <t>SP-193</t>
  </si>
  <si>
    <t>BioMio Таблетки для Посудомоечной Машины All-In-One 400 гр 1Х6</t>
  </si>
  <si>
    <t>SP-187</t>
  </si>
  <si>
    <t>BioMio Таблетки для Посудомоечной Машины С ЭФИРНЫМ МАСЛОМ БЕРГАМОТА И ЮДЗУ 250 гр 1Х6</t>
  </si>
  <si>
    <t>SP-222</t>
  </si>
  <si>
    <t>SOLZAO Amazonia In Da City гель-уход для душа с экстрактом лайма 400 мл 1Х6</t>
  </si>
  <si>
    <t>SP-278</t>
  </si>
  <si>
    <t>SOLZAO Cherry Beijo крем-гель для душа с экстрактом ацеролы и маслом вишневый косточки 400 мл 1Х6</t>
  </si>
  <si>
    <t>SP-223</t>
  </si>
  <si>
    <t>SOLZAO Ipanema Girl гель-уход для душа с маслом миндаля 400 мл 1Х6</t>
  </si>
  <si>
    <t>SP-224</t>
  </si>
  <si>
    <t>SOLZAO Peach Beach гель-уход для душа с экстрактом персика 400 мл 1Х6</t>
  </si>
  <si>
    <t>SP-225</t>
  </si>
  <si>
    <t>SOLZAO Sugar Head гель-уход для душа с маслом бразильского ореха 400 мл 1Х6</t>
  </si>
  <si>
    <t>SP-272</t>
  </si>
  <si>
    <t>SPLAT BABY Зуб. Паста для детей 0+ Яблоко-Банан  35 мл 1Х18</t>
  </si>
  <si>
    <t>SP-210</t>
  </si>
  <si>
    <t>SPLAT BABY Зуб. Щетка с Ионами Серебра для детей от 0 до 3 лет 1Х12</t>
  </si>
  <si>
    <t>SP-270</t>
  </si>
  <si>
    <t>SPLAT JUICY LAB гель для душа Воздушный Маршмеллоу 400 мл 1Х6</t>
  </si>
  <si>
    <t>SP-271</t>
  </si>
  <si>
    <t>SPLAT JUICY LAB гель для душа Душистый персик 400 мл 1Х6</t>
  </si>
  <si>
    <t>SP-217</t>
  </si>
  <si>
    <t>SPLAT JUICY LAB шампунь-кондиционер Душистый Персик 250 мл 1Х12</t>
  </si>
  <si>
    <t>SP-216</t>
  </si>
  <si>
    <t>SPLAT JUICY LAB шампунь-кондиционер Спелый Арбуз 250 мл 1Х12</t>
  </si>
  <si>
    <t>SP-180</t>
  </si>
  <si>
    <t>SPLAT JUICY Зуб. Паста с Гидро-м кальция АРБУЗ 35 мл 1Х20</t>
  </si>
  <si>
    <t>SP-181</t>
  </si>
  <si>
    <t>SPLAT JUICY Зуб. Паста с Гидро-м кальция Сочный ВИНОГРАД 35 мл 1Х20</t>
  </si>
  <si>
    <t>SP-201</t>
  </si>
  <si>
    <t>SPLAT JUICY Зуб. Паста с Солнечной грушей 35 мл 1Х20</t>
  </si>
  <si>
    <t>SP-280</t>
  </si>
  <si>
    <t>SPLAT JUICY Зуб. Щетка МАГИЯ ЕДИНОРОГА 1Х12 + значок</t>
  </si>
  <si>
    <t>ФР-77203258</t>
  </si>
  <si>
    <t>SPLAT JUICY Зуб. Щетка МАГИЯ ЕДИНОРОГА Жемчужная (1+1) 1Х12</t>
  </si>
  <si>
    <t>SP-226</t>
  </si>
  <si>
    <t>SPLAT KIDS Зуб. Щетка с Ионами Серебра для детей от 2 до 6 лет 1Х12</t>
  </si>
  <si>
    <t>SP-275</t>
  </si>
  <si>
    <t>SPLAT PF Зуб. Паста БИОКАЛЬЦИЙ 40 мл 1X20 new</t>
  </si>
  <si>
    <t>SP-276</t>
  </si>
  <si>
    <t>SPLAT PF Зуб. Паста ЛЕЧЕБНЫЕ ТРАВЫ 40 мл 1X20 new</t>
  </si>
  <si>
    <t>SP-277</t>
  </si>
  <si>
    <t>SPLAT PF Зуб. Паста ОТБЕЛИВАНИЕ ПЛЮС 40 мл 1X20 new</t>
  </si>
  <si>
    <t>SP-234</t>
  </si>
  <si>
    <t>SPLAT PF Зуб. Щетка CLINIC CARE Medium 1+1 1X12</t>
  </si>
  <si>
    <t>ФР-77203255</t>
  </si>
  <si>
    <t>SPLAT PF Зуб. Щетка CLINIC CARE Soft 1X12</t>
  </si>
  <si>
    <t>SP-229</t>
  </si>
  <si>
    <t>SPLAT PF Зуб. Щетка STARS СРЕДНЯЯ 1X4X12</t>
  </si>
  <si>
    <t>SP-237</t>
  </si>
  <si>
    <t>SPLAT PF Зуб. Щетка ULTRA complete MEDIUM 1+1 1X12</t>
  </si>
  <si>
    <t>SP-236</t>
  </si>
  <si>
    <t>SPLAT PF Зуб. Щетка WHETINING MEDIUM 1+1 1X12</t>
  </si>
  <si>
    <t>ИТОГО</t>
  </si>
  <si>
    <t xml:space="preserve">Цена без скидки </t>
  </si>
  <si>
    <t xml:space="preserve">Цена со скидкой </t>
  </si>
  <si>
    <t xml:space="preserve">Сумма без скидки </t>
  </si>
  <si>
    <t xml:space="preserve">Сумма со скидкой </t>
  </si>
  <si>
    <t>кол-во шт</t>
  </si>
  <si>
    <t>biomed Зуб. Щетка SENSITIVE ULTRA SOFT PINK SALT 1+1 1X8</t>
  </si>
  <si>
    <t>BioMio Натуральное Мыло МАНГО 4*75 гр 1X12</t>
  </si>
  <si>
    <t>BioMio Натуральный гель-шампунь для душа Кедр Мята 250 мл 1*10</t>
  </si>
  <si>
    <t>SPLAT BABY Зуб. Паста для первых зубов 0+ Нежная Ромашка 35 мл 1Х18</t>
  </si>
  <si>
    <t>SPLAT DAILY Зуб. Паста Защита десен 100 гр 1Х25</t>
  </si>
  <si>
    <t>SPLAT DAILY Зуб. Паста Суперсвежесть 100 гр 1Х25</t>
  </si>
  <si>
    <t>SPLAT DAILY Зуб. Паста Укрепляющее Отбеливание 100 гр 1Х25</t>
  </si>
  <si>
    <t>SPLAT JUNIOR Зуб. Паста БАБЛ ГАМ 6-11 лет 55 мл 1Х18</t>
  </si>
  <si>
    <t>SPLAT KIDS Зуб. Паста Земляника Вишня 2-6 лет 50 мл 1Х18</t>
  </si>
  <si>
    <t>SPLAT PF Зуб. Паста АКТИВ 130 г 1X25</t>
  </si>
  <si>
    <t>SPLAT PF Зуб. Паста ДЛИТЕЛЬНАЯ СВЕЖЕСТЬ 100 г 1X25</t>
  </si>
  <si>
    <t>SPLAT PF Зуб. Паста ЗАЩИТА ОТ КАРИЕСА 100 г 1X25</t>
  </si>
  <si>
    <t>SPLAT PF Зуб. Паста ЛАВАНДАСЕПТ 130 г 1X25</t>
  </si>
  <si>
    <t>SPLAT PF Зуб. Паста СЕНСИТИВ 130 г 1X25</t>
  </si>
  <si>
    <t>SPLAT PF Зуб. Паста УЛЬТРАКОМПЛЕКС 100 г 1X25 new</t>
  </si>
  <si>
    <t>SPLAT PF Ополаскиватель ЛЕЧЕБНЫЕ ТРАВЫ 275 мл 1X20</t>
  </si>
  <si>
    <t>SPLAT PF Ополаскиватель СИЛА МИНЕРАЛОВ 275 мл 1X20</t>
  </si>
  <si>
    <t>SPLAT SPECIAL Зуб. Паста BLACKWOOD dark mint 75 мл 1Х20 new</t>
  </si>
  <si>
    <t>SPLAT SPECIAL Зуб. Паста EXTREME WHITE mint 75 мл 1Х20 new</t>
  </si>
  <si>
    <t>SP-273</t>
  </si>
  <si>
    <t>SP-228</t>
  </si>
  <si>
    <t>SP-194</t>
  </si>
  <si>
    <t>SP-284</t>
  </si>
  <si>
    <t>SP-283</t>
  </si>
  <si>
    <t>SP-282</t>
  </si>
  <si>
    <t>SP-281</t>
  </si>
  <si>
    <t>SP-299</t>
  </si>
  <si>
    <t>SP-300</t>
  </si>
  <si>
    <t>SP-289</t>
  </si>
  <si>
    <t>SP-170</t>
  </si>
  <si>
    <t>SP-296</t>
  </si>
  <si>
    <t>SP-295</t>
  </si>
  <si>
    <t>SP-293</t>
  </si>
  <si>
    <t>SP-169</t>
  </si>
  <si>
    <t>SP-231</t>
  </si>
  <si>
    <t>SP-230</t>
  </si>
  <si>
    <t>SP-297</t>
  </si>
  <si>
    <t>SP-298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</si>
</sst>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</font>
    <font>
      <sz val="8"/>
      <name val="Calibri"/>
      <family val="2"/>
      <scheme val="minor"/>
    </font>
    <font>
      <b/>
      <sz val="10"/>
      <name val="Arial"/>
      <family val="2"/>
      <charset val="204"/>
    </font>
    <font>
      <b/>
      <sz val="8"/>
      <name val="Calibri"/>
      <family val="2"/>
      <charset val="204"/>
      <scheme val="minor"/>
    </font>
    <font>
      <b/>
      <sz val="8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1" fontId="0" fillId="0" borderId="3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3" fontId="0" fillId="0" borderId="3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1" fontId="0" fillId="0" borderId="3" xfId="0" applyNumberFormat="1" applyBorder="1" applyAlignment="1">
      <alignment horizontal="right"/>
    </xf>
    <xf numFmtId="0" fontId="2" fillId="0" borderId="5" xfId="0" applyFont="1" applyBorder="1" applyAlignment="1">
      <alignment horizontal="left"/>
    </xf>
    <xf numFmtId="0" fontId="0" fillId="0" borderId="5" xfId="0" applyBorder="1" applyAlignment="1">
      <alignment horizontal="left"/>
    </xf>
    <xf numFmtId="3" fontId="0" fillId="0" borderId="6" xfId="0" applyNumberFormat="1" applyBorder="1" applyAlignment="1">
      <alignment horizontal="right"/>
    </xf>
    <xf numFmtId="164" fontId="0" fillId="0" borderId="7" xfId="1" applyNumberFormat="1" applyFont="1" applyBorder="1" applyAlignment="1">
      <alignment horizontal="center" vertical="center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0" xfId="0" applyFont="1"/>
    <xf numFmtId="1" fontId="6" fillId="0" borderId="0" xfId="0" applyNumberFormat="1" applyFont="1"/>
    <xf numFmtId="0" fontId="6" fillId="0" borderId="0" xfId="0" applyFont="1" applyAlignment="1">
      <alignment horizontal="center"/>
    </xf>
    <xf numFmtId="0" fontId="5" fillId="0" borderId="8" xfId="0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6" fillId="0" borderId="8" xfId="0" applyFont="1" applyBorder="1"/>
    <xf numFmtId="1" fontId="6" fillId="0" borderId="8" xfId="0" applyNumberFormat="1" applyFont="1" applyBorder="1"/>
    <xf numFmtId="164" fontId="6" fillId="0" borderId="8" xfId="1" applyNumberFormat="1" applyFont="1" applyBorder="1"/>
    <xf numFmtId="0" fontId="6" fillId="0" borderId="8" xfId="0" applyFont="1" applyBorder="1" applyAlignment="1">
      <alignment horizontal="center"/>
    </xf>
    <xf numFmtId="164" fontId="6" fillId="0" borderId="8" xfId="0" applyNumberFormat="1" applyFont="1" applyBorder="1"/>
    <xf numFmtId="0" fontId="6" fillId="0" borderId="8" xfId="0" applyFont="1" applyBorder="1" applyAlignment="1">
      <alignment horizontal="center" vertical="center"/>
    </xf>
    <xf numFmtId="164" fontId="6" fillId="0" borderId="8" xfId="1" applyNumberFormat="1" applyFont="1" applyBorder="1" applyAlignment="1">
      <alignment horizontal="center" vertical="center"/>
    </xf>
  </cellXfs>
  <cellStyles count="2">
    <cellStyle name="Обычный" xfId="0" builtinId="0"/>
    <cellStyle name="Финансовый" xfId="1" builtinId="3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hongir.obidov\Downloads\Telegram%20Desktop\&#1051;&#1080;&#1089;&#1090;%20Microsoft%20Excel%20(3)%20(8).xlsx" TargetMode="External"/><Relationship Id="rId1" Type="http://schemas.openxmlformats.org/officeDocument/2006/relationships/externalLinkPath" Target="/Users/jakhongir.obidov/Downloads/Telegram%20Desktop/&#1051;&#1080;&#1089;&#1090;%20Microsoft%20Excel%20(3)%20(8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Лист1"/>
    </sheetNames>
    <sheetDataSet>
      <sheetData sheetId="0">
        <row r="3">
          <cell r="B3" t="str">
            <v>Код</v>
          </cell>
          <cell r="C3" t="str">
            <v>Штрихкод</v>
          </cell>
        </row>
        <row r="4">
          <cell r="B4" t="str">
            <v>SP-273</v>
          </cell>
          <cell r="C4">
            <v>7640340650935</v>
          </cell>
        </row>
        <row r="5">
          <cell r="B5" t="str">
            <v>SP-284</v>
          </cell>
          <cell r="C5">
            <v>4603014040114</v>
          </cell>
        </row>
        <row r="6">
          <cell r="B6" t="str">
            <v>SP-283</v>
          </cell>
          <cell r="C6">
            <v>4603014038678</v>
          </cell>
        </row>
        <row r="7">
          <cell r="B7" t="str">
            <v>SP-282</v>
          </cell>
          <cell r="C7">
            <v>4603014038685</v>
          </cell>
        </row>
        <row r="8">
          <cell r="B8" t="str">
            <v>SP-281</v>
          </cell>
          <cell r="C8">
            <v>4603014038661</v>
          </cell>
        </row>
        <row r="9">
          <cell r="B9" t="str">
            <v>SP-299</v>
          </cell>
          <cell r="C9">
            <v>4603014007711</v>
          </cell>
        </row>
        <row r="10">
          <cell r="B10" t="str">
            <v>SP-300</v>
          </cell>
          <cell r="C10">
            <v>4603014006318</v>
          </cell>
        </row>
        <row r="11">
          <cell r="B11" t="str">
            <v>SP-289</v>
          </cell>
          <cell r="C11">
            <v>4603014036421</v>
          </cell>
        </row>
        <row r="12">
          <cell r="B12" t="str">
            <v>SP-296</v>
          </cell>
          <cell r="C12">
            <v>4603014040640</v>
          </cell>
        </row>
        <row r="13">
          <cell r="B13" t="str">
            <v>SP-295</v>
          </cell>
          <cell r="C13">
            <v>4603014036544</v>
          </cell>
        </row>
        <row r="14">
          <cell r="B14" t="str">
            <v>SP-293</v>
          </cell>
          <cell r="C14">
            <v>4603014036520</v>
          </cell>
        </row>
        <row r="15">
          <cell r="B15" t="str">
            <v>SP-297</v>
          </cell>
          <cell r="C15">
            <v>603014041203</v>
          </cell>
        </row>
        <row r="16">
          <cell r="B16" t="str">
            <v>SP-298</v>
          </cell>
          <cell r="C16">
            <v>603014041210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3"/>
  <sheetViews>
    <sheetView workbookViewId="0">
      <selection activeCell="C3" sqref="C3"/>
    </sheetView>
  </sheetViews>
  <sheetFormatPr defaultRowHeight="14.4" x14ac:dyDescent="0.3"/>
  <cols>
    <col min="1" max="1" width="11.77734375" bestFit="1" customWidth="1"/>
    <col min="2" max="2" width="13.88671875" bestFit="1" customWidth="1"/>
    <col min="3" max="3" width="92.77734375" bestFit="1" customWidth="1"/>
    <col min="4" max="4" width="7.21875" bestFit="1" customWidth="1"/>
    <col min="5" max="5" width="5.21875" bestFit="1" customWidth="1"/>
    <col min="6" max="6" width="10.77734375" bestFit="1" customWidth="1"/>
  </cols>
  <sheetData>
    <row r="1" spans="1:6" ht="15" thickBot="1" x14ac:dyDescent="0.35"/>
    <row r="2" spans="1:6" ht="15" thickBo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3">
      <c r="A3" s="2" t="s">
        <v>6</v>
      </c>
      <c r="B3" s="3">
        <v>7640168938413</v>
      </c>
      <c r="C3" s="4" t="s">
        <v>7</v>
      </c>
      <c r="D3" s="5">
        <v>19090</v>
      </c>
      <c r="E3" s="6">
        <v>120</v>
      </c>
      <c r="F3" s="7">
        <v>1809730</v>
      </c>
    </row>
    <row r="4" spans="1:6" x14ac:dyDescent="0.3">
      <c r="A4" s="2" t="s">
        <v>8</v>
      </c>
      <c r="B4" s="3">
        <v>7640168931919</v>
      </c>
      <c r="C4" s="4" t="s">
        <v>9</v>
      </c>
      <c r="D4" s="5">
        <v>19090</v>
      </c>
      <c r="E4" s="6">
        <v>60</v>
      </c>
      <c r="F4" s="7">
        <v>904870</v>
      </c>
    </row>
    <row r="5" spans="1:6" x14ac:dyDescent="0.3">
      <c r="A5" s="2" t="s">
        <v>10</v>
      </c>
      <c r="B5" s="3">
        <v>7640168937157</v>
      </c>
      <c r="C5" s="4" t="s">
        <v>11</v>
      </c>
      <c r="D5" s="5">
        <v>26480</v>
      </c>
      <c r="E5" s="6">
        <v>80</v>
      </c>
      <c r="F5" s="7">
        <v>1673540</v>
      </c>
    </row>
    <row r="6" spans="1:6" x14ac:dyDescent="0.3">
      <c r="A6" s="2" t="s">
        <v>12</v>
      </c>
      <c r="B6" s="3">
        <v>7640340650393</v>
      </c>
      <c r="C6" s="4" t="s">
        <v>13</v>
      </c>
      <c r="D6" s="5">
        <v>19090</v>
      </c>
      <c r="E6" s="6">
        <v>96</v>
      </c>
      <c r="F6" s="7">
        <v>1447790</v>
      </c>
    </row>
    <row r="7" spans="1:6" x14ac:dyDescent="0.3">
      <c r="A7" s="2" t="s">
        <v>14</v>
      </c>
      <c r="B7" s="3">
        <v>7640168935573</v>
      </c>
      <c r="C7" s="4" t="s">
        <v>15</v>
      </c>
      <c r="D7" s="5">
        <v>30070</v>
      </c>
      <c r="E7" s="6">
        <v>80</v>
      </c>
      <c r="F7" s="7">
        <v>1900420</v>
      </c>
    </row>
    <row r="8" spans="1:6" x14ac:dyDescent="0.3">
      <c r="A8" s="2" t="s">
        <v>16</v>
      </c>
      <c r="B8" s="3">
        <v>7640168930479</v>
      </c>
      <c r="C8" s="4" t="s">
        <v>17</v>
      </c>
      <c r="D8" s="5">
        <v>19090</v>
      </c>
      <c r="E8" s="6">
        <v>96</v>
      </c>
      <c r="F8" s="7">
        <v>1447790</v>
      </c>
    </row>
    <row r="9" spans="1:6" x14ac:dyDescent="0.3">
      <c r="A9" s="2" t="s">
        <v>18</v>
      </c>
      <c r="B9" s="3">
        <v>7640168930509</v>
      </c>
      <c r="C9" s="4" t="s">
        <v>19</v>
      </c>
      <c r="D9" s="5">
        <v>19090</v>
      </c>
      <c r="E9" s="6">
        <v>72</v>
      </c>
      <c r="F9" s="7">
        <v>1085840</v>
      </c>
    </row>
    <row r="10" spans="1:6" x14ac:dyDescent="0.3">
      <c r="A10" s="2" t="s">
        <v>20</v>
      </c>
      <c r="B10" s="3">
        <v>7640168931636</v>
      </c>
      <c r="C10" s="4" t="s">
        <v>21</v>
      </c>
      <c r="D10" s="5">
        <v>23550</v>
      </c>
      <c r="E10" s="6">
        <v>10</v>
      </c>
      <c r="F10" s="7">
        <v>235500</v>
      </c>
    </row>
    <row r="11" spans="1:6" x14ac:dyDescent="0.3">
      <c r="A11" s="2" t="s">
        <v>22</v>
      </c>
      <c r="B11" s="3">
        <v>7640168936457</v>
      </c>
      <c r="C11" s="4" t="s">
        <v>23</v>
      </c>
      <c r="D11" s="5">
        <v>16420</v>
      </c>
      <c r="E11" s="6">
        <v>240</v>
      </c>
      <c r="F11" s="7">
        <v>3152640</v>
      </c>
    </row>
    <row r="12" spans="1:6" x14ac:dyDescent="0.3">
      <c r="A12" s="2" t="s">
        <v>24</v>
      </c>
      <c r="B12" s="3">
        <v>7640168937621</v>
      </c>
      <c r="C12" s="4" t="s">
        <v>25</v>
      </c>
      <c r="D12" s="5">
        <v>12430</v>
      </c>
      <c r="E12" s="6">
        <v>24</v>
      </c>
      <c r="F12" s="7">
        <v>253570</v>
      </c>
    </row>
    <row r="13" spans="1:6" x14ac:dyDescent="0.3">
      <c r="A13" s="2" t="s">
        <v>26</v>
      </c>
      <c r="B13" s="3">
        <v>7640168937560</v>
      </c>
      <c r="C13" s="4" t="s">
        <v>27</v>
      </c>
      <c r="D13" s="5">
        <v>12430</v>
      </c>
      <c r="E13" s="6">
        <v>24</v>
      </c>
      <c r="F13" s="7">
        <v>253570</v>
      </c>
    </row>
    <row r="14" spans="1:6" x14ac:dyDescent="0.3">
      <c r="A14" s="2" t="s">
        <v>28</v>
      </c>
      <c r="B14" s="3">
        <v>7640168939175</v>
      </c>
      <c r="C14" s="4" t="s">
        <v>29</v>
      </c>
      <c r="D14" s="5">
        <v>12430</v>
      </c>
      <c r="E14" s="6">
        <v>48</v>
      </c>
      <c r="F14" s="7">
        <v>507140</v>
      </c>
    </row>
    <row r="15" spans="1:6" x14ac:dyDescent="0.3">
      <c r="A15" s="2" t="s">
        <v>30</v>
      </c>
      <c r="B15" s="3">
        <v>7640168937584</v>
      </c>
      <c r="C15" s="4" t="s">
        <v>31</v>
      </c>
      <c r="D15" s="5">
        <v>12430</v>
      </c>
      <c r="E15" s="6">
        <v>24</v>
      </c>
      <c r="F15" s="7">
        <v>253570</v>
      </c>
    </row>
    <row r="16" spans="1:6" x14ac:dyDescent="0.3">
      <c r="A16" s="2" t="s">
        <v>32</v>
      </c>
      <c r="B16" s="3">
        <v>7640168939137</v>
      </c>
      <c r="C16" s="4" t="s">
        <v>33</v>
      </c>
      <c r="D16" s="5">
        <v>12430</v>
      </c>
      <c r="E16" s="6">
        <v>48</v>
      </c>
      <c r="F16" s="7">
        <v>507140</v>
      </c>
    </row>
    <row r="17" spans="1:6" x14ac:dyDescent="0.3">
      <c r="A17" s="2" t="s">
        <v>34</v>
      </c>
      <c r="B17" s="3">
        <v>7640168937546</v>
      </c>
      <c r="C17" s="4" t="s">
        <v>35</v>
      </c>
      <c r="D17" s="5">
        <v>12430</v>
      </c>
      <c r="E17" s="6">
        <v>24</v>
      </c>
      <c r="F17" s="7">
        <v>253570</v>
      </c>
    </row>
    <row r="18" spans="1:6" x14ac:dyDescent="0.3">
      <c r="A18" s="2" t="s">
        <v>36</v>
      </c>
      <c r="B18" s="3">
        <v>4603014012043</v>
      </c>
      <c r="C18" s="4" t="s">
        <v>37</v>
      </c>
      <c r="D18" s="5">
        <v>23580</v>
      </c>
      <c r="E18" s="6">
        <v>96</v>
      </c>
      <c r="F18" s="7">
        <v>2263680</v>
      </c>
    </row>
    <row r="19" spans="1:6" x14ac:dyDescent="0.3">
      <c r="A19" s="2" t="s">
        <v>38</v>
      </c>
      <c r="B19" s="3">
        <v>4603014004918</v>
      </c>
      <c r="C19" s="4" t="s">
        <v>39</v>
      </c>
      <c r="D19" s="5">
        <v>20730</v>
      </c>
      <c r="E19" s="6">
        <v>20</v>
      </c>
      <c r="F19" s="7">
        <v>302660</v>
      </c>
    </row>
    <row r="20" spans="1:6" x14ac:dyDescent="0.3">
      <c r="A20" s="2" t="s">
        <v>40</v>
      </c>
      <c r="B20" s="3">
        <v>4603014004925</v>
      </c>
      <c r="C20" s="4" t="s">
        <v>41</v>
      </c>
      <c r="D20" s="5">
        <v>20730</v>
      </c>
      <c r="E20" s="6">
        <v>20</v>
      </c>
      <c r="F20" s="7">
        <v>302660</v>
      </c>
    </row>
    <row r="21" spans="1:6" x14ac:dyDescent="0.3">
      <c r="A21" s="2" t="s">
        <v>42</v>
      </c>
      <c r="B21" s="3">
        <v>4603014004949</v>
      </c>
      <c r="C21" s="4" t="s">
        <v>43</v>
      </c>
      <c r="D21" s="5">
        <v>20730</v>
      </c>
      <c r="E21" s="6">
        <v>20</v>
      </c>
      <c r="F21" s="7">
        <v>302660</v>
      </c>
    </row>
    <row r="22" spans="1:6" x14ac:dyDescent="0.3">
      <c r="A22" s="2" t="s">
        <v>44</v>
      </c>
      <c r="B22" s="3">
        <v>7640168935078</v>
      </c>
      <c r="C22" s="4" t="s">
        <v>45</v>
      </c>
      <c r="D22" s="5">
        <v>27370</v>
      </c>
      <c r="E22" s="6">
        <v>60</v>
      </c>
      <c r="F22" s="7">
        <v>1231650</v>
      </c>
    </row>
    <row r="23" spans="1:6" x14ac:dyDescent="0.3">
      <c r="A23" s="2" t="s">
        <v>46</v>
      </c>
      <c r="B23" s="3">
        <v>7640168934811</v>
      </c>
      <c r="C23" s="4" t="s">
        <v>47</v>
      </c>
      <c r="D23" s="5">
        <v>27370</v>
      </c>
      <c r="E23" s="6">
        <v>60</v>
      </c>
      <c r="F23" s="7">
        <v>1231650</v>
      </c>
    </row>
    <row r="24" spans="1:6" x14ac:dyDescent="0.3">
      <c r="A24" s="2" t="s">
        <v>48</v>
      </c>
      <c r="B24" s="3">
        <v>4603014007711</v>
      </c>
      <c r="C24" s="4" t="s">
        <v>49</v>
      </c>
      <c r="D24" s="5">
        <v>36680</v>
      </c>
      <c r="E24" s="6">
        <v>20</v>
      </c>
      <c r="F24" s="7">
        <v>733600</v>
      </c>
    </row>
    <row r="25" spans="1:6" x14ac:dyDescent="0.3">
      <c r="A25" s="2" t="s">
        <v>50</v>
      </c>
      <c r="B25" s="3">
        <v>4603014007735</v>
      </c>
      <c r="C25" s="4" t="s">
        <v>51</v>
      </c>
      <c r="D25" s="5">
        <v>36680</v>
      </c>
      <c r="E25" s="6">
        <v>20</v>
      </c>
      <c r="F25" s="7">
        <v>733600</v>
      </c>
    </row>
    <row r="26" spans="1:6" x14ac:dyDescent="0.3">
      <c r="A26" s="2" t="s">
        <v>52</v>
      </c>
      <c r="B26" s="3">
        <v>7640168931605</v>
      </c>
      <c r="C26" s="4" t="s">
        <v>53</v>
      </c>
      <c r="D26" s="5">
        <v>31550</v>
      </c>
      <c r="E26" s="6">
        <v>48</v>
      </c>
      <c r="F26" s="7">
        <v>1514400</v>
      </c>
    </row>
    <row r="27" spans="1:6" x14ac:dyDescent="0.3">
      <c r="A27" s="2" t="s">
        <v>54</v>
      </c>
      <c r="B27" s="3">
        <v>4603014006318</v>
      </c>
      <c r="C27" s="4" t="s">
        <v>55</v>
      </c>
      <c r="D27" s="5">
        <v>32420</v>
      </c>
      <c r="E27" s="6">
        <v>20</v>
      </c>
      <c r="F27" s="7">
        <v>648400</v>
      </c>
    </row>
    <row r="28" spans="1:6" x14ac:dyDescent="0.3">
      <c r="A28" s="2" t="s">
        <v>56</v>
      </c>
      <c r="B28" s="3">
        <v>4603014006271</v>
      </c>
      <c r="C28" s="4" t="s">
        <v>57</v>
      </c>
      <c r="D28" s="5">
        <v>32420</v>
      </c>
      <c r="E28" s="6">
        <v>20</v>
      </c>
      <c r="F28" s="7">
        <v>648400</v>
      </c>
    </row>
    <row r="29" spans="1:6" x14ac:dyDescent="0.3">
      <c r="A29" s="2" t="s">
        <v>58</v>
      </c>
      <c r="B29" s="3">
        <v>4603014001771</v>
      </c>
      <c r="C29" s="4" t="s">
        <v>59</v>
      </c>
      <c r="D29" s="5">
        <v>52880</v>
      </c>
      <c r="E29" s="6">
        <v>12</v>
      </c>
      <c r="F29" s="7">
        <v>634560</v>
      </c>
    </row>
    <row r="30" spans="1:6" x14ac:dyDescent="0.3">
      <c r="A30" s="2" t="s">
        <v>60</v>
      </c>
      <c r="B30" s="3">
        <v>4603014001795</v>
      </c>
      <c r="C30" s="4" t="s">
        <v>61</v>
      </c>
      <c r="D30" s="5">
        <v>52880</v>
      </c>
      <c r="E30" s="6">
        <v>12</v>
      </c>
      <c r="F30" s="7">
        <v>634560</v>
      </c>
    </row>
    <row r="31" spans="1:6" x14ac:dyDescent="0.3">
      <c r="A31" s="2" t="s">
        <v>62</v>
      </c>
      <c r="B31" s="3">
        <v>4603014001757</v>
      </c>
      <c r="C31" s="4" t="s">
        <v>63</v>
      </c>
      <c r="D31" s="5">
        <v>52880</v>
      </c>
      <c r="E31" s="6">
        <v>12</v>
      </c>
      <c r="F31" s="7">
        <v>634560</v>
      </c>
    </row>
    <row r="32" spans="1:6" x14ac:dyDescent="0.3">
      <c r="A32" s="2" t="s">
        <v>64</v>
      </c>
      <c r="B32" s="3">
        <v>4603014022226</v>
      </c>
      <c r="C32" s="4" t="s">
        <v>65</v>
      </c>
      <c r="D32" s="5">
        <v>26920</v>
      </c>
      <c r="E32" s="6">
        <v>250</v>
      </c>
      <c r="F32" s="7">
        <v>5047500</v>
      </c>
    </row>
    <row r="33" spans="1:6" x14ac:dyDescent="0.3">
      <c r="A33" s="2" t="s">
        <v>66</v>
      </c>
      <c r="B33" s="3">
        <v>4603014025906</v>
      </c>
      <c r="C33" s="4" t="s">
        <v>67</v>
      </c>
      <c r="D33" s="5">
        <v>26920</v>
      </c>
      <c r="E33" s="6">
        <v>25</v>
      </c>
      <c r="F33" s="7">
        <v>504750</v>
      </c>
    </row>
    <row r="34" spans="1:6" x14ac:dyDescent="0.3">
      <c r="A34" s="2" t="s">
        <v>68</v>
      </c>
      <c r="B34" s="3">
        <v>4603014025883</v>
      </c>
      <c r="C34" s="4" t="s">
        <v>69</v>
      </c>
      <c r="D34" s="5">
        <v>26920</v>
      </c>
      <c r="E34" s="6">
        <v>25</v>
      </c>
      <c r="F34" s="7">
        <v>504750</v>
      </c>
    </row>
    <row r="35" spans="1:6" x14ac:dyDescent="0.3">
      <c r="A35" s="2" t="s">
        <v>70</v>
      </c>
      <c r="B35" s="3">
        <v>4603014022240</v>
      </c>
      <c r="C35" s="4" t="s">
        <v>71</v>
      </c>
      <c r="D35" s="5">
        <v>26920</v>
      </c>
      <c r="E35" s="6">
        <v>250</v>
      </c>
      <c r="F35" s="7">
        <v>5047500</v>
      </c>
    </row>
    <row r="36" spans="1:6" x14ac:dyDescent="0.3">
      <c r="A36" s="2" t="s">
        <v>72</v>
      </c>
      <c r="B36" s="3">
        <v>4603014023704</v>
      </c>
      <c r="C36" s="4" t="s">
        <v>73</v>
      </c>
      <c r="D36" s="5">
        <v>26920</v>
      </c>
      <c r="E36" s="6">
        <v>500</v>
      </c>
      <c r="F36" s="7">
        <v>10095000</v>
      </c>
    </row>
    <row r="37" spans="1:6" x14ac:dyDescent="0.3">
      <c r="A37" s="2" t="s">
        <v>74</v>
      </c>
      <c r="B37" s="3">
        <v>4603014013422</v>
      </c>
      <c r="C37" s="4" t="s">
        <v>75</v>
      </c>
      <c r="D37" s="5">
        <v>38000</v>
      </c>
      <c r="E37" s="6">
        <v>60</v>
      </c>
      <c r="F37" s="7">
        <v>1710000</v>
      </c>
    </row>
    <row r="38" spans="1:6" x14ac:dyDescent="0.3">
      <c r="A38" s="2" t="s">
        <v>76</v>
      </c>
      <c r="B38" s="8">
        <v>0</v>
      </c>
      <c r="C38" s="4" t="s">
        <v>77</v>
      </c>
      <c r="D38" s="5">
        <v>38000</v>
      </c>
      <c r="E38" s="6">
        <v>60</v>
      </c>
      <c r="F38" s="7">
        <v>1710000</v>
      </c>
    </row>
    <row r="39" spans="1:6" x14ac:dyDescent="0.3">
      <c r="A39" s="2" t="s">
        <v>78</v>
      </c>
      <c r="B39" s="3">
        <v>7640168937898</v>
      </c>
      <c r="C39" s="4" t="s">
        <v>79</v>
      </c>
      <c r="D39" s="5">
        <v>33320</v>
      </c>
      <c r="E39" s="6">
        <v>60</v>
      </c>
      <c r="F39" s="7">
        <v>1499400</v>
      </c>
    </row>
    <row r="40" spans="1:6" x14ac:dyDescent="0.3">
      <c r="A40" s="2" t="s">
        <v>80</v>
      </c>
      <c r="B40" s="3">
        <v>4603014011909</v>
      </c>
      <c r="C40" s="4" t="s">
        <v>81</v>
      </c>
      <c r="D40" s="5">
        <v>33320</v>
      </c>
      <c r="E40" s="6">
        <v>60</v>
      </c>
      <c r="F40" s="7">
        <v>1499400</v>
      </c>
    </row>
    <row r="41" spans="1:6" x14ac:dyDescent="0.3">
      <c r="A41" s="2" t="s">
        <v>82</v>
      </c>
      <c r="B41" s="3">
        <v>4603014007285</v>
      </c>
      <c r="C41" s="4" t="s">
        <v>83</v>
      </c>
      <c r="D41" s="5">
        <v>33320</v>
      </c>
      <c r="E41" s="6">
        <v>60</v>
      </c>
      <c r="F41" s="7">
        <v>1499400</v>
      </c>
    </row>
    <row r="42" spans="1:6" x14ac:dyDescent="0.3">
      <c r="A42" s="2" t="s">
        <v>84</v>
      </c>
      <c r="B42" s="3">
        <v>4603014010025</v>
      </c>
      <c r="C42" s="4" t="s">
        <v>85</v>
      </c>
      <c r="D42" s="5">
        <v>33320</v>
      </c>
      <c r="E42" s="6">
        <v>60</v>
      </c>
      <c r="F42" s="7">
        <v>1499400</v>
      </c>
    </row>
    <row r="43" spans="1:6" x14ac:dyDescent="0.3">
      <c r="A43" s="2" t="s">
        <v>86</v>
      </c>
      <c r="B43" s="3">
        <v>4603014010032</v>
      </c>
      <c r="C43" s="4" t="s">
        <v>87</v>
      </c>
      <c r="D43" s="5">
        <v>33320</v>
      </c>
      <c r="E43" s="6">
        <v>60</v>
      </c>
      <c r="F43" s="7">
        <v>1499400</v>
      </c>
    </row>
    <row r="44" spans="1:6" x14ac:dyDescent="0.3">
      <c r="A44" s="2" t="s">
        <v>88</v>
      </c>
      <c r="B44" s="3">
        <v>4603014007308</v>
      </c>
      <c r="C44" s="4" t="s">
        <v>89</v>
      </c>
      <c r="D44" s="5">
        <v>33320</v>
      </c>
      <c r="E44" s="6">
        <v>60</v>
      </c>
      <c r="F44" s="7">
        <v>1499400</v>
      </c>
    </row>
    <row r="45" spans="1:6" x14ac:dyDescent="0.3">
      <c r="A45" s="2" t="s">
        <v>90</v>
      </c>
      <c r="B45" s="3">
        <v>4603014007315</v>
      </c>
      <c r="C45" s="4" t="s">
        <v>91</v>
      </c>
      <c r="D45" s="5">
        <v>33320</v>
      </c>
      <c r="E45" s="6">
        <v>60</v>
      </c>
      <c r="F45" s="7">
        <v>1499400</v>
      </c>
    </row>
    <row r="46" spans="1:6" x14ac:dyDescent="0.3">
      <c r="A46" s="2" t="s">
        <v>92</v>
      </c>
      <c r="B46" s="3">
        <v>4603014001856</v>
      </c>
      <c r="C46" s="4" t="s">
        <v>93</v>
      </c>
      <c r="D46" s="5">
        <v>59300</v>
      </c>
      <c r="E46" s="6">
        <v>40</v>
      </c>
      <c r="F46" s="7">
        <v>2372000</v>
      </c>
    </row>
    <row r="47" spans="1:6" x14ac:dyDescent="0.3">
      <c r="A47" s="2" t="s">
        <v>94</v>
      </c>
      <c r="B47" s="3">
        <v>4603014010650</v>
      </c>
      <c r="C47" s="4" t="s">
        <v>95</v>
      </c>
      <c r="D47" s="5">
        <v>45360</v>
      </c>
      <c r="E47" s="6">
        <v>40</v>
      </c>
      <c r="F47" s="7">
        <v>1814400</v>
      </c>
    </row>
    <row r="48" spans="1:6" x14ac:dyDescent="0.3">
      <c r="A48" s="2" t="s">
        <v>96</v>
      </c>
      <c r="B48" s="3">
        <v>4603014001016</v>
      </c>
      <c r="C48" s="4" t="s">
        <v>97</v>
      </c>
      <c r="D48" s="5">
        <v>59300</v>
      </c>
      <c r="E48" s="6">
        <v>40</v>
      </c>
      <c r="F48" s="7">
        <v>2372000</v>
      </c>
    </row>
    <row r="49" spans="1:6" x14ac:dyDescent="0.3">
      <c r="A49" s="2" t="s">
        <v>98</v>
      </c>
      <c r="B49" s="3">
        <v>4603014009821</v>
      </c>
      <c r="C49" s="4" t="s">
        <v>99</v>
      </c>
      <c r="D49" s="5">
        <v>59300</v>
      </c>
      <c r="E49" s="6">
        <v>20</v>
      </c>
      <c r="F49" s="7">
        <v>1186000</v>
      </c>
    </row>
    <row r="50" spans="1:6" x14ac:dyDescent="0.3">
      <c r="A50" s="2" t="s">
        <v>100</v>
      </c>
      <c r="B50" s="3">
        <v>7640340650683</v>
      </c>
      <c r="C50" s="4" t="s">
        <v>101</v>
      </c>
      <c r="D50" s="5">
        <v>32100</v>
      </c>
      <c r="E50" s="6">
        <v>12</v>
      </c>
      <c r="F50" s="7">
        <v>385200</v>
      </c>
    </row>
    <row r="51" spans="1:6" x14ac:dyDescent="0.3">
      <c r="A51" s="2" t="s">
        <v>102</v>
      </c>
      <c r="B51" s="3">
        <v>7640340650690</v>
      </c>
      <c r="C51" s="4" t="s">
        <v>103</v>
      </c>
      <c r="D51" s="5">
        <v>32100</v>
      </c>
      <c r="E51" s="6">
        <v>12</v>
      </c>
      <c r="F51" s="7">
        <v>385200</v>
      </c>
    </row>
    <row r="52" spans="1:6" x14ac:dyDescent="0.3">
      <c r="A52" s="2" t="s">
        <v>104</v>
      </c>
      <c r="B52" s="3">
        <v>7640340650713</v>
      </c>
      <c r="C52" s="4" t="s">
        <v>105</v>
      </c>
      <c r="D52" s="5">
        <v>32100</v>
      </c>
      <c r="E52" s="6">
        <v>12</v>
      </c>
      <c r="F52" s="7">
        <v>385200</v>
      </c>
    </row>
    <row r="53" spans="1:6" x14ac:dyDescent="0.3">
      <c r="A53" s="2" t="s">
        <v>106</v>
      </c>
      <c r="B53" s="3">
        <v>7640340650706</v>
      </c>
      <c r="C53" s="4" t="s">
        <v>107</v>
      </c>
      <c r="D53" s="5">
        <v>32100</v>
      </c>
      <c r="E53" s="6">
        <v>12</v>
      </c>
      <c r="F53" s="7">
        <v>385200</v>
      </c>
    </row>
    <row r="54" spans="1:6" x14ac:dyDescent="0.3">
      <c r="A54" s="2" t="s">
        <v>108</v>
      </c>
      <c r="B54" s="8">
        <v>0</v>
      </c>
      <c r="C54" s="4" t="s">
        <v>109</v>
      </c>
      <c r="D54" s="5">
        <v>19750</v>
      </c>
      <c r="E54" s="6">
        <v>120</v>
      </c>
      <c r="F54" s="7">
        <v>1777500</v>
      </c>
    </row>
    <row r="55" spans="1:6" x14ac:dyDescent="0.3">
      <c r="A55" s="2" t="s">
        <v>110</v>
      </c>
      <c r="B55" s="8">
        <v>0</v>
      </c>
      <c r="C55" s="4" t="s">
        <v>111</v>
      </c>
      <c r="D55" s="5">
        <v>23550</v>
      </c>
      <c r="E55" s="6">
        <v>25</v>
      </c>
      <c r="F55" s="7">
        <v>500440</v>
      </c>
    </row>
    <row r="56" spans="1:6" x14ac:dyDescent="0.3">
      <c r="A56" s="2" t="s">
        <v>112</v>
      </c>
      <c r="B56" s="8">
        <v>0</v>
      </c>
      <c r="C56" s="4" t="s">
        <v>113</v>
      </c>
      <c r="D56" s="5">
        <v>23550</v>
      </c>
      <c r="E56" s="6">
        <v>25</v>
      </c>
      <c r="F56" s="7">
        <v>588750</v>
      </c>
    </row>
    <row r="57" spans="1:6" x14ac:dyDescent="0.3">
      <c r="A57" s="2" t="s">
        <v>114</v>
      </c>
      <c r="B57" s="8">
        <v>0</v>
      </c>
      <c r="C57" s="4" t="s">
        <v>115</v>
      </c>
      <c r="D57" s="5">
        <v>23550</v>
      </c>
      <c r="E57" s="6">
        <v>25</v>
      </c>
      <c r="F57" s="7">
        <v>588750</v>
      </c>
    </row>
    <row r="58" spans="1:6" x14ac:dyDescent="0.3">
      <c r="A58" s="2" t="s">
        <v>116</v>
      </c>
      <c r="B58" s="8">
        <v>0</v>
      </c>
      <c r="C58" s="4" t="s">
        <v>117</v>
      </c>
      <c r="D58" s="5">
        <v>23980</v>
      </c>
      <c r="E58" s="6">
        <v>48</v>
      </c>
      <c r="F58" s="7">
        <v>978380</v>
      </c>
    </row>
    <row r="59" spans="1:6" x14ac:dyDescent="0.3">
      <c r="A59" s="2" t="s">
        <v>118</v>
      </c>
      <c r="B59" s="3">
        <v>7640340650423</v>
      </c>
      <c r="C59" s="4" t="s">
        <v>119</v>
      </c>
      <c r="D59" s="5">
        <v>23980</v>
      </c>
      <c r="E59" s="6">
        <v>48</v>
      </c>
      <c r="F59" s="7">
        <v>978380</v>
      </c>
    </row>
    <row r="60" spans="1:6" x14ac:dyDescent="0.3">
      <c r="A60" s="2" t="s">
        <v>120</v>
      </c>
      <c r="B60" s="3">
        <v>7640340650942</v>
      </c>
      <c r="C60" s="4" t="s">
        <v>121</v>
      </c>
      <c r="D60" s="5">
        <v>26480</v>
      </c>
      <c r="E60" s="6">
        <v>50</v>
      </c>
      <c r="F60" s="7">
        <v>1045960</v>
      </c>
    </row>
    <row r="61" spans="1:6" x14ac:dyDescent="0.3">
      <c r="A61" s="2" t="s">
        <v>122</v>
      </c>
      <c r="B61" s="8">
        <v>0</v>
      </c>
      <c r="C61" s="4" t="s">
        <v>123</v>
      </c>
      <c r="D61" s="5">
        <v>23550</v>
      </c>
      <c r="E61" s="6">
        <v>10</v>
      </c>
      <c r="F61" s="7">
        <v>235500</v>
      </c>
    </row>
    <row r="62" spans="1:6" x14ac:dyDescent="0.3">
      <c r="A62" s="2" t="s">
        <v>124</v>
      </c>
      <c r="B62" s="8">
        <v>0</v>
      </c>
      <c r="C62" s="4" t="s">
        <v>125</v>
      </c>
      <c r="D62" s="5">
        <v>50560</v>
      </c>
      <c r="E62" s="6">
        <v>20</v>
      </c>
      <c r="F62" s="7">
        <v>1011200</v>
      </c>
    </row>
    <row r="63" spans="1:6" x14ac:dyDescent="0.3">
      <c r="A63" s="2" t="s">
        <v>126</v>
      </c>
      <c r="B63" s="3">
        <v>7640245620309</v>
      </c>
      <c r="C63" s="4" t="s">
        <v>127</v>
      </c>
      <c r="D63" s="5">
        <v>44820</v>
      </c>
      <c r="E63" s="6">
        <v>12</v>
      </c>
      <c r="F63" s="7">
        <v>537840</v>
      </c>
    </row>
    <row r="64" spans="1:6" x14ac:dyDescent="0.3">
      <c r="A64" s="2" t="s">
        <v>128</v>
      </c>
      <c r="B64" s="3">
        <v>7640245620293</v>
      </c>
      <c r="C64" s="4" t="s">
        <v>129</v>
      </c>
      <c r="D64" s="5">
        <v>44820</v>
      </c>
      <c r="E64" s="6">
        <v>12</v>
      </c>
      <c r="F64" s="7">
        <v>537840</v>
      </c>
    </row>
    <row r="65" spans="1:6" x14ac:dyDescent="0.3">
      <c r="A65" s="2" t="s">
        <v>130</v>
      </c>
      <c r="B65" s="3">
        <v>7640245620170</v>
      </c>
      <c r="C65" s="4" t="s">
        <v>131</v>
      </c>
      <c r="D65" s="5">
        <v>61970</v>
      </c>
      <c r="E65" s="6">
        <v>6</v>
      </c>
      <c r="F65" s="7">
        <v>371820</v>
      </c>
    </row>
    <row r="66" spans="1:6" x14ac:dyDescent="0.3">
      <c r="A66" s="2" t="s">
        <v>132</v>
      </c>
      <c r="B66" s="3">
        <v>7640245620194</v>
      </c>
      <c r="C66" s="4" t="s">
        <v>133</v>
      </c>
      <c r="D66" s="5">
        <v>61970</v>
      </c>
      <c r="E66" s="6">
        <v>6</v>
      </c>
      <c r="F66" s="7">
        <v>371820</v>
      </c>
    </row>
    <row r="67" spans="1:6" x14ac:dyDescent="0.3">
      <c r="A67" s="2" t="s">
        <v>134</v>
      </c>
      <c r="B67" s="3">
        <v>7640168939489</v>
      </c>
      <c r="C67" s="4" t="s">
        <v>135</v>
      </c>
      <c r="D67" s="5">
        <v>190290</v>
      </c>
      <c r="E67" s="6">
        <v>32</v>
      </c>
      <c r="F67" s="7">
        <v>4871420</v>
      </c>
    </row>
    <row r="68" spans="1:6" x14ac:dyDescent="0.3">
      <c r="A68" s="2" t="s">
        <v>136</v>
      </c>
      <c r="B68" s="8">
        <v>0</v>
      </c>
      <c r="C68" s="4" t="s">
        <v>137</v>
      </c>
      <c r="D68" s="5">
        <v>36950</v>
      </c>
      <c r="E68" s="6">
        <v>5</v>
      </c>
      <c r="F68" s="7">
        <v>184750</v>
      </c>
    </row>
    <row r="69" spans="1:6" x14ac:dyDescent="0.3">
      <c r="A69" s="2" t="s">
        <v>138</v>
      </c>
      <c r="B69" s="8">
        <v>0</v>
      </c>
      <c r="C69" s="4" t="s">
        <v>139</v>
      </c>
      <c r="D69" s="5">
        <v>36950</v>
      </c>
      <c r="E69" s="6">
        <v>5</v>
      </c>
      <c r="F69" s="7">
        <v>184750</v>
      </c>
    </row>
    <row r="70" spans="1:6" x14ac:dyDescent="0.3">
      <c r="A70" s="2" t="s">
        <v>140</v>
      </c>
      <c r="B70" s="3">
        <v>7640245620330</v>
      </c>
      <c r="C70" s="4" t="s">
        <v>141</v>
      </c>
      <c r="D70" s="5">
        <v>36950</v>
      </c>
      <c r="E70" s="6">
        <v>5</v>
      </c>
      <c r="F70" s="7">
        <v>184750</v>
      </c>
    </row>
    <row r="71" spans="1:6" x14ac:dyDescent="0.3">
      <c r="A71" s="2" t="s">
        <v>142</v>
      </c>
      <c r="B71" s="8">
        <v>0</v>
      </c>
      <c r="C71" s="4" t="s">
        <v>143</v>
      </c>
      <c r="D71" s="5">
        <v>35120</v>
      </c>
      <c r="E71" s="6">
        <v>12</v>
      </c>
      <c r="F71" s="7">
        <v>358220</v>
      </c>
    </row>
    <row r="72" spans="1:6" x14ac:dyDescent="0.3">
      <c r="A72" s="2" t="s">
        <v>144</v>
      </c>
      <c r="B72" s="8">
        <v>0</v>
      </c>
      <c r="C72" s="4" t="s">
        <v>145</v>
      </c>
      <c r="D72" s="5">
        <v>35120</v>
      </c>
      <c r="E72" s="6">
        <v>12</v>
      </c>
      <c r="F72" s="7">
        <v>358220</v>
      </c>
    </row>
    <row r="73" spans="1:6" x14ac:dyDescent="0.3">
      <c r="A73" s="2" t="s">
        <v>146</v>
      </c>
      <c r="B73" s="3">
        <v>7640245620248</v>
      </c>
      <c r="C73" s="4" t="s">
        <v>147</v>
      </c>
      <c r="D73" s="5">
        <v>94820</v>
      </c>
      <c r="E73" s="6">
        <v>24</v>
      </c>
      <c r="F73" s="7">
        <v>1820540</v>
      </c>
    </row>
    <row r="74" spans="1:6" x14ac:dyDescent="0.3">
      <c r="A74" s="2" t="s">
        <v>148</v>
      </c>
      <c r="B74" s="3">
        <v>7640245620255</v>
      </c>
      <c r="C74" s="4" t="s">
        <v>149</v>
      </c>
      <c r="D74" s="5">
        <v>104200</v>
      </c>
      <c r="E74" s="6">
        <v>24</v>
      </c>
      <c r="F74" s="7">
        <v>2000640</v>
      </c>
    </row>
    <row r="75" spans="1:6" x14ac:dyDescent="0.3">
      <c r="A75" s="2" t="s">
        <v>150</v>
      </c>
      <c r="B75" s="3">
        <v>7640245620286</v>
      </c>
      <c r="C75" s="4" t="s">
        <v>151</v>
      </c>
      <c r="D75" s="5">
        <v>94820</v>
      </c>
      <c r="E75" s="6">
        <v>24</v>
      </c>
      <c r="F75" s="7">
        <v>1820540</v>
      </c>
    </row>
    <row r="76" spans="1:6" x14ac:dyDescent="0.3">
      <c r="A76" s="2" t="s">
        <v>152</v>
      </c>
      <c r="B76" s="3">
        <v>764068939878</v>
      </c>
      <c r="C76" s="4" t="s">
        <v>153</v>
      </c>
      <c r="D76" s="5">
        <v>90780</v>
      </c>
      <c r="E76" s="6">
        <v>24</v>
      </c>
      <c r="F76" s="7">
        <v>1634040</v>
      </c>
    </row>
    <row r="77" spans="1:6" x14ac:dyDescent="0.3">
      <c r="A77" s="2" t="s">
        <v>154</v>
      </c>
      <c r="B77" s="3">
        <v>7640168939748</v>
      </c>
      <c r="C77" s="4" t="s">
        <v>155</v>
      </c>
      <c r="D77" s="5">
        <v>60000</v>
      </c>
      <c r="E77" s="6">
        <v>24</v>
      </c>
      <c r="F77" s="7">
        <v>1080000</v>
      </c>
    </row>
    <row r="78" spans="1:6" x14ac:dyDescent="0.3">
      <c r="A78" s="2" t="s">
        <v>156</v>
      </c>
      <c r="B78" s="3">
        <v>4603014028853</v>
      </c>
      <c r="C78" s="4" t="s">
        <v>157</v>
      </c>
      <c r="D78" s="5">
        <v>57590</v>
      </c>
      <c r="E78" s="6">
        <v>30</v>
      </c>
      <c r="F78" s="7">
        <v>1036620</v>
      </c>
    </row>
    <row r="79" spans="1:6" x14ac:dyDescent="0.3">
      <c r="A79" s="2" t="s">
        <v>158</v>
      </c>
      <c r="B79" s="8">
        <v>0</v>
      </c>
      <c r="C79" s="4" t="s">
        <v>159</v>
      </c>
      <c r="D79" s="5">
        <v>63380</v>
      </c>
      <c r="E79" s="6">
        <v>60</v>
      </c>
      <c r="F79" s="7">
        <v>2281680</v>
      </c>
    </row>
    <row r="80" spans="1:6" x14ac:dyDescent="0.3">
      <c r="A80" s="2" t="s">
        <v>160</v>
      </c>
      <c r="B80" s="3">
        <v>4603014028846</v>
      </c>
      <c r="C80" s="4" t="s">
        <v>161</v>
      </c>
      <c r="D80" s="5">
        <v>57590</v>
      </c>
      <c r="E80" s="6">
        <v>30</v>
      </c>
      <c r="F80" s="7">
        <v>1036620</v>
      </c>
    </row>
    <row r="81" spans="1:6" x14ac:dyDescent="0.3">
      <c r="A81" s="2" t="s">
        <v>162</v>
      </c>
      <c r="B81" s="3">
        <v>4603014028884</v>
      </c>
      <c r="C81" s="4" t="s">
        <v>163</v>
      </c>
      <c r="D81" s="5">
        <v>57590</v>
      </c>
      <c r="E81" s="6">
        <v>90</v>
      </c>
      <c r="F81" s="7">
        <v>3109860</v>
      </c>
    </row>
    <row r="82" spans="1:6" x14ac:dyDescent="0.3">
      <c r="A82" s="2" t="s">
        <v>164</v>
      </c>
      <c r="B82" s="3">
        <v>4603014028907</v>
      </c>
      <c r="C82" s="4" t="s">
        <v>165</v>
      </c>
      <c r="D82" s="5">
        <v>57590</v>
      </c>
      <c r="E82" s="6">
        <v>90</v>
      </c>
      <c r="F82" s="7">
        <v>3109860</v>
      </c>
    </row>
    <row r="83" spans="1:6" x14ac:dyDescent="0.3">
      <c r="A83" s="2" t="s">
        <v>166</v>
      </c>
      <c r="B83" s="8">
        <v>0</v>
      </c>
      <c r="C83" s="4" t="s">
        <v>167</v>
      </c>
      <c r="D83" s="5">
        <v>32420</v>
      </c>
      <c r="E83" s="6">
        <v>90</v>
      </c>
      <c r="F83" s="7">
        <v>2917800</v>
      </c>
    </row>
    <row r="84" spans="1:6" x14ac:dyDescent="0.3">
      <c r="A84" s="2" t="s">
        <v>168</v>
      </c>
      <c r="B84" s="3">
        <v>7640245621425</v>
      </c>
      <c r="C84" s="4" t="s">
        <v>169</v>
      </c>
      <c r="D84" s="5">
        <v>30100</v>
      </c>
      <c r="E84" s="6">
        <v>60</v>
      </c>
      <c r="F84" s="7">
        <v>1806000</v>
      </c>
    </row>
    <row r="85" spans="1:6" x14ac:dyDescent="0.3">
      <c r="A85" s="2" t="s">
        <v>170</v>
      </c>
      <c r="B85" s="8">
        <v>0</v>
      </c>
      <c r="C85" s="4" t="s">
        <v>171</v>
      </c>
      <c r="D85" s="5">
        <v>48430</v>
      </c>
      <c r="E85" s="6">
        <v>6</v>
      </c>
      <c r="F85" s="7">
        <v>232460</v>
      </c>
    </row>
    <row r="86" spans="1:6" x14ac:dyDescent="0.3">
      <c r="A86" s="2" t="s">
        <v>172</v>
      </c>
      <c r="B86" s="8">
        <v>0</v>
      </c>
      <c r="C86" s="4" t="s">
        <v>173</v>
      </c>
      <c r="D86" s="5">
        <v>48430</v>
      </c>
      <c r="E86" s="6">
        <v>6</v>
      </c>
      <c r="F86" s="7">
        <v>232460</v>
      </c>
    </row>
    <row r="87" spans="1:6" x14ac:dyDescent="0.3">
      <c r="A87" s="2" t="s">
        <v>174</v>
      </c>
      <c r="B87" s="3">
        <v>7640245620866</v>
      </c>
      <c r="C87" s="4" t="s">
        <v>175</v>
      </c>
      <c r="D87" s="5">
        <v>48430</v>
      </c>
      <c r="E87" s="6">
        <v>12</v>
      </c>
      <c r="F87" s="7">
        <v>464930</v>
      </c>
    </row>
    <row r="88" spans="1:6" x14ac:dyDescent="0.3">
      <c r="A88" s="2" t="s">
        <v>176</v>
      </c>
      <c r="B88" s="3">
        <v>7640245620873</v>
      </c>
      <c r="C88" s="4" t="s">
        <v>177</v>
      </c>
      <c r="D88" s="5">
        <v>48430</v>
      </c>
      <c r="E88" s="6">
        <v>12</v>
      </c>
      <c r="F88" s="7">
        <v>464930</v>
      </c>
    </row>
    <row r="89" spans="1:6" x14ac:dyDescent="0.3">
      <c r="A89" s="2" t="s">
        <v>178</v>
      </c>
      <c r="B89" s="3">
        <v>7640168939816</v>
      </c>
      <c r="C89" s="4" t="s">
        <v>179</v>
      </c>
      <c r="D89" s="5">
        <v>19790</v>
      </c>
      <c r="E89" s="6">
        <v>100</v>
      </c>
      <c r="F89" s="7">
        <v>1484250</v>
      </c>
    </row>
    <row r="90" spans="1:6" x14ac:dyDescent="0.3">
      <c r="A90" s="2" t="s">
        <v>180</v>
      </c>
      <c r="B90" s="3">
        <v>7640168930004</v>
      </c>
      <c r="C90" s="4" t="s">
        <v>181</v>
      </c>
      <c r="D90" s="5">
        <v>19790</v>
      </c>
      <c r="E90" s="6">
        <v>100</v>
      </c>
      <c r="F90" s="7">
        <v>1484250</v>
      </c>
    </row>
    <row r="91" spans="1:6" x14ac:dyDescent="0.3">
      <c r="A91" s="2" t="s">
        <v>182</v>
      </c>
      <c r="B91" s="3">
        <v>7640245620132</v>
      </c>
      <c r="C91" s="4" t="s">
        <v>183</v>
      </c>
      <c r="D91" s="5">
        <v>19790</v>
      </c>
      <c r="E91" s="6">
        <v>100</v>
      </c>
      <c r="F91" s="7">
        <v>1484250</v>
      </c>
    </row>
    <row r="92" spans="1:6" x14ac:dyDescent="0.3">
      <c r="A92" s="2" t="s">
        <v>184</v>
      </c>
      <c r="B92" s="8">
        <v>0</v>
      </c>
      <c r="C92" s="4" t="s">
        <v>185</v>
      </c>
      <c r="D92" s="5">
        <v>27370</v>
      </c>
      <c r="E92" s="6">
        <v>60</v>
      </c>
      <c r="F92" s="7">
        <v>1231650</v>
      </c>
    </row>
    <row r="93" spans="1:6" x14ac:dyDescent="0.3">
      <c r="A93" s="2" t="s">
        <v>186</v>
      </c>
      <c r="B93" s="3">
        <v>7640245620231</v>
      </c>
      <c r="C93" s="4" t="s">
        <v>187</v>
      </c>
      <c r="D93" s="5">
        <v>34520</v>
      </c>
      <c r="E93" s="6">
        <v>60</v>
      </c>
      <c r="F93" s="7">
        <v>1553400</v>
      </c>
    </row>
    <row r="94" spans="1:6" x14ac:dyDescent="0.3">
      <c r="A94" s="2" t="s">
        <v>188</v>
      </c>
      <c r="B94" s="3">
        <v>7640245621412</v>
      </c>
      <c r="C94" s="4" t="s">
        <v>189</v>
      </c>
      <c r="D94" s="5">
        <v>30100</v>
      </c>
      <c r="E94" s="6">
        <v>60</v>
      </c>
      <c r="F94" s="7">
        <v>1806000</v>
      </c>
    </row>
    <row r="95" spans="1:6" x14ac:dyDescent="0.3">
      <c r="A95" s="2" t="s">
        <v>190</v>
      </c>
      <c r="B95" s="8">
        <v>0</v>
      </c>
      <c r="C95" s="4" t="s">
        <v>191</v>
      </c>
      <c r="D95" s="5">
        <v>13990</v>
      </c>
      <c r="E95" s="6">
        <v>20</v>
      </c>
      <c r="F95" s="7">
        <v>209850</v>
      </c>
    </row>
    <row r="96" spans="1:6" x14ac:dyDescent="0.3">
      <c r="A96" s="2" t="s">
        <v>192</v>
      </c>
      <c r="B96" s="8">
        <v>0</v>
      </c>
      <c r="C96" s="4" t="s">
        <v>193</v>
      </c>
      <c r="D96" s="5">
        <v>13990</v>
      </c>
      <c r="E96" s="6">
        <v>20</v>
      </c>
      <c r="F96" s="7">
        <v>209850</v>
      </c>
    </row>
    <row r="97" spans="1:6" x14ac:dyDescent="0.3">
      <c r="A97" s="2" t="s">
        <v>194</v>
      </c>
      <c r="B97" s="8">
        <v>0</v>
      </c>
      <c r="C97" s="4" t="s">
        <v>195</v>
      </c>
      <c r="D97" s="5">
        <v>13990</v>
      </c>
      <c r="E97" s="6">
        <v>20</v>
      </c>
      <c r="F97" s="7">
        <v>209850</v>
      </c>
    </row>
    <row r="98" spans="1:6" x14ac:dyDescent="0.3">
      <c r="A98" s="2" t="s">
        <v>196</v>
      </c>
      <c r="B98" s="8">
        <v>0</v>
      </c>
      <c r="C98" s="4" t="s">
        <v>197</v>
      </c>
      <c r="D98" s="5">
        <v>48700</v>
      </c>
      <c r="E98" s="6">
        <v>96</v>
      </c>
      <c r="F98" s="7">
        <v>3506400</v>
      </c>
    </row>
    <row r="99" spans="1:6" x14ac:dyDescent="0.3">
      <c r="A99" s="2" t="s">
        <v>198</v>
      </c>
      <c r="B99" s="3">
        <v>4603014028679</v>
      </c>
      <c r="C99" s="4" t="s">
        <v>199</v>
      </c>
      <c r="D99" s="5">
        <v>38000</v>
      </c>
      <c r="E99" s="6">
        <v>60</v>
      </c>
      <c r="F99" s="7">
        <v>1710000</v>
      </c>
    </row>
    <row r="100" spans="1:6" x14ac:dyDescent="0.3">
      <c r="A100" s="2" t="s">
        <v>200</v>
      </c>
      <c r="B100" s="8">
        <v>0</v>
      </c>
      <c r="C100" s="4" t="s">
        <v>201</v>
      </c>
      <c r="D100" s="5">
        <v>20630</v>
      </c>
      <c r="E100" s="6">
        <v>60</v>
      </c>
      <c r="F100" s="7">
        <v>928350</v>
      </c>
    </row>
    <row r="101" spans="1:6" x14ac:dyDescent="0.3">
      <c r="A101" s="2" t="s">
        <v>202</v>
      </c>
      <c r="B101" s="8">
        <v>0</v>
      </c>
      <c r="C101" s="4" t="s">
        <v>203</v>
      </c>
      <c r="D101" s="5">
        <v>42500</v>
      </c>
      <c r="E101" s="6">
        <v>60</v>
      </c>
      <c r="F101" s="7">
        <v>1912500</v>
      </c>
    </row>
    <row r="102" spans="1:6" ht="15" thickBot="1" x14ac:dyDescent="0.35">
      <c r="A102" s="2" t="s">
        <v>204</v>
      </c>
      <c r="B102" s="8">
        <v>0</v>
      </c>
      <c r="C102" s="4" t="s">
        <v>205</v>
      </c>
      <c r="D102" s="5">
        <v>42500</v>
      </c>
      <c r="E102" s="6">
        <v>60</v>
      </c>
      <c r="F102" s="7">
        <v>1912500</v>
      </c>
    </row>
    <row r="103" spans="1:6" x14ac:dyDescent="0.3">
      <c r="A103" s="9" t="s">
        <v>206</v>
      </c>
      <c r="B103" s="10"/>
      <c r="C103" s="10"/>
      <c r="D103" s="10"/>
      <c r="E103" s="11">
        <v>5224</v>
      </c>
      <c r="F103" s="11">
        <v>132262590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4406F-61B8-4274-972A-5455BA3468C6}">
  <dimension ref="A1:I104"/>
  <sheetViews>
    <sheetView zoomScale="85" zoomScaleNormal="85" workbookViewId="0">
      <selection activeCell="A2" sqref="A2:I2"/>
    </sheetView>
  </sheetViews>
  <sheetFormatPr defaultRowHeight="14.4" x14ac:dyDescent="0.3"/>
  <cols>
    <col min="1" max="1" width="12.6640625" customWidth="1"/>
    <col min="2" max="2" width="15" bestFit="1" customWidth="1"/>
    <col min="3" max="3" width="95.33203125" customWidth="1"/>
    <col min="4" max="4" width="12.6640625" customWidth="1"/>
    <col min="6" max="6" width="8.77734375" customWidth="1"/>
    <col min="7" max="7" width="7.33203125" customWidth="1"/>
    <col min="8" max="8" width="11.6640625" bestFit="1" customWidth="1"/>
    <col min="9" max="9" width="12" customWidth="1"/>
  </cols>
  <sheetData>
    <row r="1" spans="1:9" ht="15" thickBot="1" x14ac:dyDescent="0.35"/>
    <row r="2" spans="1:9" ht="40.200000000000003" thickBot="1" x14ac:dyDescent="0.35">
      <c r="A2" s="15" t="s">
        <v>0</v>
      </c>
      <c r="B2" s="15" t="s">
        <v>1</v>
      </c>
      <c r="C2" s="15" t="s">
        <v>2</v>
      </c>
      <c r="D2" s="15" t="s">
        <v>0</v>
      </c>
      <c r="E2" s="16" t="s">
        <v>207</v>
      </c>
      <c r="F2" s="16" t="s">
        <v>208</v>
      </c>
      <c r="G2" s="16" t="s">
        <v>211</v>
      </c>
      <c r="H2" s="16" t="s">
        <v>209</v>
      </c>
      <c r="I2" s="16" t="s">
        <v>210</v>
      </c>
    </row>
    <row r="3" spans="1:9" x14ac:dyDescent="0.3">
      <c r="A3" s="2" t="s">
        <v>6</v>
      </c>
      <c r="B3" s="3">
        <v>7640168938413</v>
      </c>
      <c r="C3" s="4" t="s">
        <v>7</v>
      </c>
      <c r="D3" s="2" t="s">
        <v>6</v>
      </c>
      <c r="E3" s="5">
        <v>19090</v>
      </c>
      <c r="F3" s="5">
        <v>15081.083333333334</v>
      </c>
      <c r="G3" s="6">
        <v>120</v>
      </c>
      <c r="H3" s="12">
        <v>2290800</v>
      </c>
      <c r="I3" s="7">
        <v>1809730</v>
      </c>
    </row>
    <row r="4" spans="1:9" x14ac:dyDescent="0.3">
      <c r="A4" s="2" t="s">
        <v>8</v>
      </c>
      <c r="B4" s="3">
        <v>7640168931919</v>
      </c>
      <c r="C4" s="4" t="s">
        <v>9</v>
      </c>
      <c r="D4" s="2" t="s">
        <v>8</v>
      </c>
      <c r="E4" s="5">
        <v>19090</v>
      </c>
      <c r="F4" s="5">
        <v>15081.166666666666</v>
      </c>
      <c r="G4" s="6">
        <v>60</v>
      </c>
      <c r="H4" s="12">
        <v>1145400</v>
      </c>
      <c r="I4" s="7">
        <v>904870</v>
      </c>
    </row>
    <row r="5" spans="1:9" x14ac:dyDescent="0.3">
      <c r="A5" s="2" t="s">
        <v>10</v>
      </c>
      <c r="B5" s="3">
        <v>7640168937157</v>
      </c>
      <c r="C5" s="4" t="s">
        <v>11</v>
      </c>
      <c r="D5" s="2" t="s">
        <v>10</v>
      </c>
      <c r="E5" s="5">
        <v>26480</v>
      </c>
      <c r="F5" s="5">
        <v>20919.25</v>
      </c>
      <c r="G5" s="6">
        <v>80</v>
      </c>
      <c r="H5" s="12">
        <v>2118400</v>
      </c>
      <c r="I5" s="7">
        <v>1673540</v>
      </c>
    </row>
    <row r="6" spans="1:9" x14ac:dyDescent="0.3">
      <c r="A6" s="2" t="s">
        <v>12</v>
      </c>
      <c r="B6" s="3">
        <v>7640340650393</v>
      </c>
      <c r="C6" s="4" t="s">
        <v>13</v>
      </c>
      <c r="D6" s="2" t="s">
        <v>12</v>
      </c>
      <c r="E6" s="5">
        <v>19090</v>
      </c>
      <c r="F6" s="5">
        <v>15081.145833333334</v>
      </c>
      <c r="G6" s="6">
        <v>96</v>
      </c>
      <c r="H6" s="12">
        <v>1832640</v>
      </c>
      <c r="I6" s="7">
        <v>1447790</v>
      </c>
    </row>
    <row r="7" spans="1:9" x14ac:dyDescent="0.3">
      <c r="A7" s="2" t="s">
        <v>14</v>
      </c>
      <c r="B7" s="3">
        <v>7640168935573</v>
      </c>
      <c r="C7" s="4" t="s">
        <v>15</v>
      </c>
      <c r="D7" s="2" t="s">
        <v>14</v>
      </c>
      <c r="E7" s="5">
        <v>30070</v>
      </c>
      <c r="F7" s="5">
        <v>23755.25</v>
      </c>
      <c r="G7" s="6">
        <v>80</v>
      </c>
      <c r="H7" s="12">
        <v>2405600</v>
      </c>
      <c r="I7" s="7">
        <v>1900420</v>
      </c>
    </row>
    <row r="8" spans="1:9" x14ac:dyDescent="0.3">
      <c r="A8" s="2" t="s">
        <v>16</v>
      </c>
      <c r="B8" s="3">
        <v>7640168930479</v>
      </c>
      <c r="C8" s="4" t="s">
        <v>17</v>
      </c>
      <c r="D8" s="2" t="s">
        <v>16</v>
      </c>
      <c r="E8" s="5">
        <v>19090</v>
      </c>
      <c r="F8" s="5">
        <v>15081.145833333334</v>
      </c>
      <c r="G8" s="6">
        <v>96</v>
      </c>
      <c r="H8" s="12">
        <v>1832640</v>
      </c>
      <c r="I8" s="7">
        <v>1447790</v>
      </c>
    </row>
    <row r="9" spans="1:9" x14ac:dyDescent="0.3">
      <c r="A9" s="2" t="s">
        <v>18</v>
      </c>
      <c r="B9" s="3">
        <v>7640168930509</v>
      </c>
      <c r="C9" s="4" t="s">
        <v>19</v>
      </c>
      <c r="D9" s="2" t="s">
        <v>18</v>
      </c>
      <c r="E9" s="5">
        <v>19090</v>
      </c>
      <c r="F9" s="5">
        <v>15081.111111111111</v>
      </c>
      <c r="G9" s="6">
        <v>72</v>
      </c>
      <c r="H9" s="12">
        <v>1374480</v>
      </c>
      <c r="I9" s="7">
        <v>1085840</v>
      </c>
    </row>
    <row r="10" spans="1:9" x14ac:dyDescent="0.3">
      <c r="A10" s="2" t="s">
        <v>20</v>
      </c>
      <c r="B10" s="3">
        <v>7640168931636</v>
      </c>
      <c r="C10" s="4" t="s">
        <v>21</v>
      </c>
      <c r="D10" s="2" t="s">
        <v>20</v>
      </c>
      <c r="E10" s="5">
        <v>23550</v>
      </c>
      <c r="F10" s="5">
        <v>23550</v>
      </c>
      <c r="G10" s="6">
        <v>10</v>
      </c>
      <c r="H10" s="12">
        <v>235500</v>
      </c>
      <c r="I10" s="7">
        <v>235500</v>
      </c>
    </row>
    <row r="11" spans="1:9" x14ac:dyDescent="0.3">
      <c r="A11" s="2" t="s">
        <v>22</v>
      </c>
      <c r="B11" s="3">
        <v>7640168936457</v>
      </c>
      <c r="C11" s="4" t="s">
        <v>23</v>
      </c>
      <c r="D11" s="2" t="s">
        <v>22</v>
      </c>
      <c r="E11" s="5">
        <v>16420</v>
      </c>
      <c r="F11" s="5">
        <v>13136</v>
      </c>
      <c r="G11" s="6">
        <v>240</v>
      </c>
      <c r="H11" s="12">
        <v>3940800</v>
      </c>
      <c r="I11" s="7">
        <v>3152640</v>
      </c>
    </row>
    <row r="12" spans="1:9" x14ac:dyDescent="0.3">
      <c r="A12" s="2" t="s">
        <v>24</v>
      </c>
      <c r="B12" s="3">
        <v>7640168937621</v>
      </c>
      <c r="C12" s="4" t="s">
        <v>25</v>
      </c>
      <c r="D12" s="2" t="s">
        <v>24</v>
      </c>
      <c r="E12" s="5">
        <v>12430</v>
      </c>
      <c r="F12" s="5">
        <v>10565.416666666666</v>
      </c>
      <c r="G12" s="6">
        <v>24</v>
      </c>
      <c r="H12" s="12">
        <v>298320</v>
      </c>
      <c r="I12" s="7">
        <v>253570</v>
      </c>
    </row>
    <row r="13" spans="1:9" x14ac:dyDescent="0.3">
      <c r="A13" s="2" t="s">
        <v>26</v>
      </c>
      <c r="B13" s="3">
        <v>7640168937560</v>
      </c>
      <c r="C13" s="4" t="s">
        <v>27</v>
      </c>
      <c r="D13" s="2" t="s">
        <v>26</v>
      </c>
      <c r="E13" s="5">
        <v>12430</v>
      </c>
      <c r="F13" s="5">
        <v>10565.416666666666</v>
      </c>
      <c r="G13" s="6">
        <v>24</v>
      </c>
      <c r="H13" s="12">
        <v>298320</v>
      </c>
      <c r="I13" s="7">
        <v>253570</v>
      </c>
    </row>
    <row r="14" spans="1:9" x14ac:dyDescent="0.3">
      <c r="A14" s="2" t="s">
        <v>28</v>
      </c>
      <c r="B14" s="3">
        <v>7640168939175</v>
      </c>
      <c r="C14" s="4" t="s">
        <v>29</v>
      </c>
      <c r="D14" s="2" t="s">
        <v>28</v>
      </c>
      <c r="E14" s="5">
        <v>12430</v>
      </c>
      <c r="F14" s="5">
        <v>10565.416666666666</v>
      </c>
      <c r="G14" s="6">
        <v>48</v>
      </c>
      <c r="H14" s="12">
        <v>596640</v>
      </c>
      <c r="I14" s="7">
        <v>507140</v>
      </c>
    </row>
    <row r="15" spans="1:9" x14ac:dyDescent="0.3">
      <c r="A15" s="2" t="s">
        <v>30</v>
      </c>
      <c r="B15" s="3">
        <v>7640168937584</v>
      </c>
      <c r="C15" s="4" t="s">
        <v>31</v>
      </c>
      <c r="D15" s="2" t="s">
        <v>30</v>
      </c>
      <c r="E15" s="5">
        <v>12430</v>
      </c>
      <c r="F15" s="5">
        <v>10565.416666666666</v>
      </c>
      <c r="G15" s="6">
        <v>24</v>
      </c>
      <c r="H15" s="12">
        <v>298320</v>
      </c>
      <c r="I15" s="7">
        <v>253570</v>
      </c>
    </row>
    <row r="16" spans="1:9" x14ac:dyDescent="0.3">
      <c r="A16" s="2" t="s">
        <v>32</v>
      </c>
      <c r="B16" s="3">
        <v>7640168939137</v>
      </c>
      <c r="C16" s="4" t="s">
        <v>33</v>
      </c>
      <c r="D16" s="2" t="s">
        <v>32</v>
      </c>
      <c r="E16" s="5">
        <v>12430</v>
      </c>
      <c r="F16" s="5">
        <v>10565.416666666666</v>
      </c>
      <c r="G16" s="6">
        <v>48</v>
      </c>
      <c r="H16" s="12">
        <v>596640</v>
      </c>
      <c r="I16" s="7">
        <v>507140</v>
      </c>
    </row>
    <row r="17" spans="1:9" x14ac:dyDescent="0.3">
      <c r="A17" s="2" t="s">
        <v>34</v>
      </c>
      <c r="B17" s="3">
        <v>7640168937546</v>
      </c>
      <c r="C17" s="4" t="s">
        <v>35</v>
      </c>
      <c r="D17" s="2" t="s">
        <v>34</v>
      </c>
      <c r="E17" s="5">
        <v>12430</v>
      </c>
      <c r="F17" s="5">
        <v>10565.416666666666</v>
      </c>
      <c r="G17" s="6">
        <v>24</v>
      </c>
      <c r="H17" s="12">
        <v>298320</v>
      </c>
      <c r="I17" s="7">
        <v>253570</v>
      </c>
    </row>
    <row r="18" spans="1:9" x14ac:dyDescent="0.3">
      <c r="A18" s="2" t="s">
        <v>36</v>
      </c>
      <c r="B18" s="3">
        <v>4603014012043</v>
      </c>
      <c r="C18" s="4" t="s">
        <v>37</v>
      </c>
      <c r="D18" s="2" t="s">
        <v>36</v>
      </c>
      <c r="E18" s="5">
        <v>23580</v>
      </c>
      <c r="F18" s="5">
        <v>23580</v>
      </c>
      <c r="G18" s="6">
        <v>96</v>
      </c>
      <c r="H18" s="12">
        <v>2263680</v>
      </c>
      <c r="I18" s="7">
        <v>2263680</v>
      </c>
    </row>
    <row r="19" spans="1:9" x14ac:dyDescent="0.3">
      <c r="A19" s="2" t="s">
        <v>38</v>
      </c>
      <c r="B19" s="3">
        <v>4603014004918</v>
      </c>
      <c r="C19" s="4" t="s">
        <v>39</v>
      </c>
      <c r="D19" s="2" t="s">
        <v>38</v>
      </c>
      <c r="E19" s="5">
        <v>20730</v>
      </c>
      <c r="F19" s="5">
        <v>15133</v>
      </c>
      <c r="G19" s="6">
        <v>20</v>
      </c>
      <c r="H19" s="12">
        <v>414600</v>
      </c>
      <c r="I19" s="7">
        <v>302660</v>
      </c>
    </row>
    <row r="20" spans="1:9" x14ac:dyDescent="0.3">
      <c r="A20" s="2" t="s">
        <v>40</v>
      </c>
      <c r="B20" s="3">
        <v>4603014004925</v>
      </c>
      <c r="C20" s="4" t="s">
        <v>41</v>
      </c>
      <c r="D20" s="2" t="s">
        <v>40</v>
      </c>
      <c r="E20" s="5">
        <v>20730</v>
      </c>
      <c r="F20" s="5">
        <v>15133</v>
      </c>
      <c r="G20" s="6">
        <v>20</v>
      </c>
      <c r="H20" s="12">
        <v>414600</v>
      </c>
      <c r="I20" s="7">
        <v>302660</v>
      </c>
    </row>
    <row r="21" spans="1:9" x14ac:dyDescent="0.3">
      <c r="A21" s="2" t="s">
        <v>42</v>
      </c>
      <c r="B21" s="3">
        <v>4603014004949</v>
      </c>
      <c r="C21" s="4" t="s">
        <v>43</v>
      </c>
      <c r="D21" s="2" t="s">
        <v>42</v>
      </c>
      <c r="E21" s="5">
        <v>20730</v>
      </c>
      <c r="F21" s="5">
        <v>15133</v>
      </c>
      <c r="G21" s="6">
        <v>20</v>
      </c>
      <c r="H21" s="12">
        <v>414600</v>
      </c>
      <c r="I21" s="7">
        <v>302660</v>
      </c>
    </row>
    <row r="22" spans="1:9" x14ac:dyDescent="0.3">
      <c r="A22" s="2" t="s">
        <v>44</v>
      </c>
      <c r="B22" s="3">
        <v>7640168935078</v>
      </c>
      <c r="C22" s="4" t="s">
        <v>45</v>
      </c>
      <c r="D22" s="2" t="s">
        <v>44</v>
      </c>
      <c r="E22" s="5">
        <v>27370</v>
      </c>
      <c r="F22" s="5">
        <v>20527.5</v>
      </c>
      <c r="G22" s="6">
        <v>60</v>
      </c>
      <c r="H22" s="12">
        <v>1642200</v>
      </c>
      <c r="I22" s="7">
        <v>1231650</v>
      </c>
    </row>
    <row r="23" spans="1:9" x14ac:dyDescent="0.3">
      <c r="A23" s="2" t="s">
        <v>46</v>
      </c>
      <c r="B23" s="3">
        <v>7640168934811</v>
      </c>
      <c r="C23" s="4" t="s">
        <v>47</v>
      </c>
      <c r="D23" s="2" t="s">
        <v>46</v>
      </c>
      <c r="E23" s="5">
        <v>27370</v>
      </c>
      <c r="F23" s="5">
        <v>20527.5</v>
      </c>
      <c r="G23" s="6">
        <v>60</v>
      </c>
      <c r="H23" s="12">
        <v>1642200</v>
      </c>
      <c r="I23" s="7">
        <v>1231650</v>
      </c>
    </row>
    <row r="24" spans="1:9" x14ac:dyDescent="0.3">
      <c r="A24" s="2" t="s">
        <v>48</v>
      </c>
      <c r="B24" s="3">
        <v>4603014007711</v>
      </c>
      <c r="C24" s="4" t="s">
        <v>49</v>
      </c>
      <c r="D24" s="2" t="s">
        <v>48</v>
      </c>
      <c r="E24" s="5">
        <v>36680</v>
      </c>
      <c r="F24" s="5">
        <v>36680</v>
      </c>
      <c r="G24" s="6">
        <v>20</v>
      </c>
      <c r="H24" s="12">
        <v>733600</v>
      </c>
      <c r="I24" s="7">
        <v>733600</v>
      </c>
    </row>
    <row r="25" spans="1:9" x14ac:dyDescent="0.3">
      <c r="A25" s="2" t="s">
        <v>50</v>
      </c>
      <c r="B25" s="3">
        <v>4603014007735</v>
      </c>
      <c r="C25" s="4" t="s">
        <v>51</v>
      </c>
      <c r="D25" s="2" t="s">
        <v>50</v>
      </c>
      <c r="E25" s="5">
        <v>36680</v>
      </c>
      <c r="F25" s="5">
        <v>36680</v>
      </c>
      <c r="G25" s="6">
        <v>20</v>
      </c>
      <c r="H25" s="12">
        <v>733600</v>
      </c>
      <c r="I25" s="7">
        <v>733600</v>
      </c>
    </row>
    <row r="26" spans="1:9" x14ac:dyDescent="0.3">
      <c r="A26" s="2" t="s">
        <v>52</v>
      </c>
      <c r="B26" s="3">
        <v>7640168931605</v>
      </c>
      <c r="C26" s="4" t="s">
        <v>53</v>
      </c>
      <c r="D26" s="2" t="s">
        <v>52</v>
      </c>
      <c r="E26" s="5">
        <v>31550</v>
      </c>
      <c r="F26" s="5">
        <v>31550</v>
      </c>
      <c r="G26" s="6">
        <v>48</v>
      </c>
      <c r="H26" s="12">
        <v>1514400</v>
      </c>
      <c r="I26" s="7">
        <v>1514400</v>
      </c>
    </row>
    <row r="27" spans="1:9" x14ac:dyDescent="0.3">
      <c r="A27" s="2" t="s">
        <v>54</v>
      </c>
      <c r="B27" s="3">
        <v>4603014006318</v>
      </c>
      <c r="C27" s="4" t="s">
        <v>55</v>
      </c>
      <c r="D27" s="2" t="s">
        <v>54</v>
      </c>
      <c r="E27" s="5">
        <v>32420</v>
      </c>
      <c r="F27" s="5">
        <v>32420</v>
      </c>
      <c r="G27" s="6">
        <v>20</v>
      </c>
      <c r="H27" s="12">
        <v>648400</v>
      </c>
      <c r="I27" s="7">
        <v>648400</v>
      </c>
    </row>
    <row r="28" spans="1:9" x14ac:dyDescent="0.3">
      <c r="A28" s="2" t="s">
        <v>56</v>
      </c>
      <c r="B28" s="3">
        <v>4603014006271</v>
      </c>
      <c r="C28" s="4" t="s">
        <v>57</v>
      </c>
      <c r="D28" s="2" t="s">
        <v>56</v>
      </c>
      <c r="E28" s="5">
        <v>32420</v>
      </c>
      <c r="F28" s="5">
        <v>32420</v>
      </c>
      <c r="G28" s="6">
        <v>20</v>
      </c>
      <c r="H28" s="12">
        <v>648400</v>
      </c>
      <c r="I28" s="7">
        <v>648400</v>
      </c>
    </row>
    <row r="29" spans="1:9" x14ac:dyDescent="0.3">
      <c r="A29" s="2" t="s">
        <v>58</v>
      </c>
      <c r="B29" s="3">
        <v>4603014001771</v>
      </c>
      <c r="C29" s="4" t="s">
        <v>59</v>
      </c>
      <c r="D29" s="2" t="s">
        <v>58</v>
      </c>
      <c r="E29" s="5">
        <v>52880</v>
      </c>
      <c r="F29" s="5">
        <v>52880</v>
      </c>
      <c r="G29" s="6">
        <v>12</v>
      </c>
      <c r="H29" s="12">
        <v>634560</v>
      </c>
      <c r="I29" s="7">
        <v>634560</v>
      </c>
    </row>
    <row r="30" spans="1:9" x14ac:dyDescent="0.3">
      <c r="A30" s="2" t="s">
        <v>60</v>
      </c>
      <c r="B30" s="3">
        <v>4603014001795</v>
      </c>
      <c r="C30" s="4" t="s">
        <v>61</v>
      </c>
      <c r="D30" s="2" t="s">
        <v>60</v>
      </c>
      <c r="E30" s="5">
        <v>52880</v>
      </c>
      <c r="F30" s="5">
        <v>52880</v>
      </c>
      <c r="G30" s="6">
        <v>12</v>
      </c>
      <c r="H30" s="12">
        <v>634560</v>
      </c>
      <c r="I30" s="7">
        <v>634560</v>
      </c>
    </row>
    <row r="31" spans="1:9" x14ac:dyDescent="0.3">
      <c r="A31" s="2" t="s">
        <v>62</v>
      </c>
      <c r="B31" s="3">
        <v>4603014001757</v>
      </c>
      <c r="C31" s="4" t="s">
        <v>63</v>
      </c>
      <c r="D31" s="2" t="s">
        <v>62</v>
      </c>
      <c r="E31" s="5">
        <v>52880</v>
      </c>
      <c r="F31" s="5">
        <v>52880</v>
      </c>
      <c r="G31" s="6">
        <v>12</v>
      </c>
      <c r="H31" s="12">
        <v>634560</v>
      </c>
      <c r="I31" s="7">
        <v>634560</v>
      </c>
    </row>
    <row r="32" spans="1:9" x14ac:dyDescent="0.3">
      <c r="A32" s="2" t="s">
        <v>64</v>
      </c>
      <c r="B32" s="3">
        <v>4603014022226</v>
      </c>
      <c r="C32" s="4" t="s">
        <v>65</v>
      </c>
      <c r="D32" s="2" t="s">
        <v>64</v>
      </c>
      <c r="E32" s="5">
        <v>26920</v>
      </c>
      <c r="F32" s="5">
        <v>20190</v>
      </c>
      <c r="G32" s="6">
        <v>250</v>
      </c>
      <c r="H32" s="12">
        <v>6730000</v>
      </c>
      <c r="I32" s="7">
        <v>5047500</v>
      </c>
    </row>
    <row r="33" spans="1:9" x14ac:dyDescent="0.3">
      <c r="A33" s="2" t="s">
        <v>66</v>
      </c>
      <c r="B33" s="3">
        <v>4603014025906</v>
      </c>
      <c r="C33" s="4" t="s">
        <v>67</v>
      </c>
      <c r="D33" s="2" t="s">
        <v>66</v>
      </c>
      <c r="E33" s="5">
        <v>26920</v>
      </c>
      <c r="F33" s="5">
        <v>20190</v>
      </c>
      <c r="G33" s="6">
        <v>25</v>
      </c>
      <c r="H33" s="12">
        <v>673000</v>
      </c>
      <c r="I33" s="7">
        <v>504750</v>
      </c>
    </row>
    <row r="34" spans="1:9" x14ac:dyDescent="0.3">
      <c r="A34" s="2" t="s">
        <v>68</v>
      </c>
      <c r="B34" s="3">
        <v>4603014025883</v>
      </c>
      <c r="C34" s="4" t="s">
        <v>69</v>
      </c>
      <c r="D34" s="2" t="s">
        <v>68</v>
      </c>
      <c r="E34" s="5">
        <v>26920</v>
      </c>
      <c r="F34" s="5">
        <v>20190</v>
      </c>
      <c r="G34" s="6">
        <v>25</v>
      </c>
      <c r="H34" s="12">
        <v>673000</v>
      </c>
      <c r="I34" s="7">
        <v>504750</v>
      </c>
    </row>
    <row r="35" spans="1:9" x14ac:dyDescent="0.3">
      <c r="A35" s="2" t="s">
        <v>70</v>
      </c>
      <c r="B35" s="3">
        <v>4603014022240</v>
      </c>
      <c r="C35" s="4" t="s">
        <v>71</v>
      </c>
      <c r="D35" s="2" t="s">
        <v>70</v>
      </c>
      <c r="E35" s="5">
        <v>26920</v>
      </c>
      <c r="F35" s="5">
        <v>20190</v>
      </c>
      <c r="G35" s="6">
        <v>250</v>
      </c>
      <c r="H35" s="12">
        <v>6730000</v>
      </c>
      <c r="I35" s="7">
        <v>5047500</v>
      </c>
    </row>
    <row r="36" spans="1:9" x14ac:dyDescent="0.3">
      <c r="A36" s="2" t="s">
        <v>72</v>
      </c>
      <c r="B36" s="3">
        <v>4603014023704</v>
      </c>
      <c r="C36" s="4" t="s">
        <v>73</v>
      </c>
      <c r="D36" s="2" t="s">
        <v>72</v>
      </c>
      <c r="E36" s="5">
        <v>26920</v>
      </c>
      <c r="F36" s="5">
        <v>20190</v>
      </c>
      <c r="G36" s="6">
        <v>500</v>
      </c>
      <c r="H36" s="12">
        <v>13460000</v>
      </c>
      <c r="I36" s="7">
        <v>10095000</v>
      </c>
    </row>
    <row r="37" spans="1:9" x14ac:dyDescent="0.3">
      <c r="A37" s="2" t="s">
        <v>74</v>
      </c>
      <c r="B37" s="3">
        <v>4603014013422</v>
      </c>
      <c r="C37" s="4" t="s">
        <v>75</v>
      </c>
      <c r="D37" s="2" t="s">
        <v>74</v>
      </c>
      <c r="E37" s="5">
        <v>38000</v>
      </c>
      <c r="F37" s="5">
        <v>28500</v>
      </c>
      <c r="G37" s="6">
        <v>60</v>
      </c>
      <c r="H37" s="12">
        <v>2280000</v>
      </c>
      <c r="I37" s="7">
        <v>1710000</v>
      </c>
    </row>
    <row r="38" spans="1:9" x14ac:dyDescent="0.3">
      <c r="A38" s="2" t="s">
        <v>76</v>
      </c>
      <c r="B38" s="13">
        <v>7640168938550</v>
      </c>
      <c r="C38" s="4" t="s">
        <v>77</v>
      </c>
      <c r="D38" s="2" t="s">
        <v>76</v>
      </c>
      <c r="E38" s="5">
        <v>38000</v>
      </c>
      <c r="F38" s="5">
        <v>28500</v>
      </c>
      <c r="G38" s="6">
        <v>60</v>
      </c>
      <c r="H38" s="12">
        <v>2280000</v>
      </c>
      <c r="I38" s="7">
        <v>1710000</v>
      </c>
    </row>
    <row r="39" spans="1:9" x14ac:dyDescent="0.3">
      <c r="A39" s="2" t="s">
        <v>78</v>
      </c>
      <c r="B39" s="3">
        <v>7640168937898</v>
      </c>
      <c r="C39" s="4" t="s">
        <v>79</v>
      </c>
      <c r="D39" s="2" t="s">
        <v>78</v>
      </c>
      <c r="E39" s="5">
        <v>33320</v>
      </c>
      <c r="F39" s="5">
        <v>24990</v>
      </c>
      <c r="G39" s="6">
        <v>60</v>
      </c>
      <c r="H39" s="12">
        <v>1999200</v>
      </c>
      <c r="I39" s="7">
        <v>1499400</v>
      </c>
    </row>
    <row r="40" spans="1:9" x14ac:dyDescent="0.3">
      <c r="A40" s="2" t="s">
        <v>80</v>
      </c>
      <c r="B40" s="3">
        <v>4603014011909</v>
      </c>
      <c r="C40" s="4" t="s">
        <v>81</v>
      </c>
      <c r="D40" s="2" t="s">
        <v>80</v>
      </c>
      <c r="E40" s="5">
        <v>33320</v>
      </c>
      <c r="F40" s="5">
        <v>24990</v>
      </c>
      <c r="G40" s="6">
        <v>60</v>
      </c>
      <c r="H40" s="12">
        <v>1999200</v>
      </c>
      <c r="I40" s="7">
        <v>1499400</v>
      </c>
    </row>
    <row r="41" spans="1:9" x14ac:dyDescent="0.3">
      <c r="A41" s="2" t="s">
        <v>82</v>
      </c>
      <c r="B41" s="3">
        <v>4603014007285</v>
      </c>
      <c r="C41" s="4" t="s">
        <v>83</v>
      </c>
      <c r="D41" s="2" t="s">
        <v>82</v>
      </c>
      <c r="E41" s="5">
        <v>33320</v>
      </c>
      <c r="F41" s="5">
        <v>24990</v>
      </c>
      <c r="G41" s="6">
        <v>60</v>
      </c>
      <c r="H41" s="12">
        <v>1999200</v>
      </c>
      <c r="I41" s="7">
        <v>1499400</v>
      </c>
    </row>
    <row r="42" spans="1:9" x14ac:dyDescent="0.3">
      <c r="A42" s="2" t="s">
        <v>84</v>
      </c>
      <c r="B42" s="3">
        <v>4603014010025</v>
      </c>
      <c r="C42" s="4" t="s">
        <v>85</v>
      </c>
      <c r="D42" s="2" t="s">
        <v>84</v>
      </c>
      <c r="E42" s="5">
        <v>33320</v>
      </c>
      <c r="F42" s="5">
        <v>24990</v>
      </c>
      <c r="G42" s="6">
        <v>60</v>
      </c>
      <c r="H42" s="12">
        <v>1999200</v>
      </c>
      <c r="I42" s="7">
        <v>1499400</v>
      </c>
    </row>
    <row r="43" spans="1:9" x14ac:dyDescent="0.3">
      <c r="A43" s="2" t="s">
        <v>86</v>
      </c>
      <c r="B43" s="3">
        <v>4603014010032</v>
      </c>
      <c r="C43" s="4" t="s">
        <v>87</v>
      </c>
      <c r="D43" s="2" t="s">
        <v>86</v>
      </c>
      <c r="E43" s="5">
        <v>33320</v>
      </c>
      <c r="F43" s="5">
        <v>24990</v>
      </c>
      <c r="G43" s="6">
        <v>60</v>
      </c>
      <c r="H43" s="12">
        <v>1999200</v>
      </c>
      <c r="I43" s="7">
        <v>1499400</v>
      </c>
    </row>
    <row r="44" spans="1:9" x14ac:dyDescent="0.3">
      <c r="A44" s="2" t="s">
        <v>88</v>
      </c>
      <c r="B44" s="3">
        <v>4603014007308</v>
      </c>
      <c r="C44" s="4" t="s">
        <v>89</v>
      </c>
      <c r="D44" s="2" t="s">
        <v>88</v>
      </c>
      <c r="E44" s="5">
        <v>33320</v>
      </c>
      <c r="F44" s="5">
        <v>24990</v>
      </c>
      <c r="G44" s="6">
        <v>60</v>
      </c>
      <c r="H44" s="12">
        <v>1999200</v>
      </c>
      <c r="I44" s="7">
        <v>1499400</v>
      </c>
    </row>
    <row r="45" spans="1:9" x14ac:dyDescent="0.3">
      <c r="A45" s="2" t="s">
        <v>90</v>
      </c>
      <c r="B45" s="3">
        <v>4603014007315</v>
      </c>
      <c r="C45" s="4" t="s">
        <v>91</v>
      </c>
      <c r="D45" s="2" t="s">
        <v>90</v>
      </c>
      <c r="E45" s="5">
        <v>33320</v>
      </c>
      <c r="F45" s="5">
        <v>24990</v>
      </c>
      <c r="G45" s="6">
        <v>60</v>
      </c>
      <c r="H45" s="12">
        <v>1999200</v>
      </c>
      <c r="I45" s="7">
        <v>1499400</v>
      </c>
    </row>
    <row r="46" spans="1:9" x14ac:dyDescent="0.3">
      <c r="A46" s="2" t="s">
        <v>92</v>
      </c>
      <c r="B46" s="3">
        <v>4603014001856</v>
      </c>
      <c r="C46" s="4" t="s">
        <v>93</v>
      </c>
      <c r="D46" s="2" t="s">
        <v>92</v>
      </c>
      <c r="E46" s="5">
        <v>59300</v>
      </c>
      <c r="F46" s="5">
        <v>59300</v>
      </c>
      <c r="G46" s="6">
        <v>40</v>
      </c>
      <c r="H46" s="12">
        <v>2372000</v>
      </c>
      <c r="I46" s="7">
        <v>2372000</v>
      </c>
    </row>
    <row r="47" spans="1:9" x14ac:dyDescent="0.3">
      <c r="A47" s="2" t="s">
        <v>94</v>
      </c>
      <c r="B47" s="3">
        <v>4603014010650</v>
      </c>
      <c r="C47" s="4" t="s">
        <v>95</v>
      </c>
      <c r="D47" s="2" t="s">
        <v>94</v>
      </c>
      <c r="E47" s="5">
        <v>45360</v>
      </c>
      <c r="F47" s="5">
        <v>45360</v>
      </c>
      <c r="G47" s="6">
        <v>40</v>
      </c>
      <c r="H47" s="12">
        <v>1814400</v>
      </c>
      <c r="I47" s="7">
        <v>1814400</v>
      </c>
    </row>
    <row r="48" spans="1:9" x14ac:dyDescent="0.3">
      <c r="A48" s="2" t="s">
        <v>96</v>
      </c>
      <c r="B48" s="3">
        <v>4603014001016</v>
      </c>
      <c r="C48" s="4" t="s">
        <v>97</v>
      </c>
      <c r="D48" s="2" t="s">
        <v>96</v>
      </c>
      <c r="E48" s="5">
        <v>59300</v>
      </c>
      <c r="F48" s="5">
        <v>59300</v>
      </c>
      <c r="G48" s="6">
        <v>40</v>
      </c>
      <c r="H48" s="12">
        <v>2372000</v>
      </c>
      <c r="I48" s="7">
        <v>2372000</v>
      </c>
    </row>
    <row r="49" spans="1:9" x14ac:dyDescent="0.3">
      <c r="A49" s="2" t="s">
        <v>98</v>
      </c>
      <c r="B49" s="3">
        <v>4603014009821</v>
      </c>
      <c r="C49" s="4" t="s">
        <v>99</v>
      </c>
      <c r="D49" s="2" t="s">
        <v>98</v>
      </c>
      <c r="E49" s="5">
        <v>59300</v>
      </c>
      <c r="F49" s="5">
        <v>59300</v>
      </c>
      <c r="G49" s="6">
        <v>20</v>
      </c>
      <c r="H49" s="12">
        <v>1186000</v>
      </c>
      <c r="I49" s="7">
        <v>1186000</v>
      </c>
    </row>
    <row r="50" spans="1:9" x14ac:dyDescent="0.3">
      <c r="A50" s="2" t="s">
        <v>100</v>
      </c>
      <c r="B50" s="3">
        <v>7640340650683</v>
      </c>
      <c r="C50" s="4" t="s">
        <v>101</v>
      </c>
      <c r="D50" s="2" t="s">
        <v>100</v>
      </c>
      <c r="E50" s="5">
        <v>32100</v>
      </c>
      <c r="F50" s="5">
        <v>32100</v>
      </c>
      <c r="G50" s="6">
        <v>12</v>
      </c>
      <c r="H50" s="12">
        <v>385200</v>
      </c>
      <c r="I50" s="7">
        <v>385200</v>
      </c>
    </row>
    <row r="51" spans="1:9" x14ac:dyDescent="0.3">
      <c r="A51" s="2" t="s">
        <v>102</v>
      </c>
      <c r="B51" s="3">
        <v>7640340650690</v>
      </c>
      <c r="C51" s="4" t="s">
        <v>103</v>
      </c>
      <c r="D51" s="2" t="s">
        <v>102</v>
      </c>
      <c r="E51" s="5">
        <v>32100</v>
      </c>
      <c r="F51" s="5">
        <v>32100</v>
      </c>
      <c r="G51" s="6">
        <v>12</v>
      </c>
      <c r="H51" s="12">
        <v>385200</v>
      </c>
      <c r="I51" s="7">
        <v>385200</v>
      </c>
    </row>
    <row r="52" spans="1:9" x14ac:dyDescent="0.3">
      <c r="A52" s="2" t="s">
        <v>104</v>
      </c>
      <c r="B52" s="3">
        <v>7640340650713</v>
      </c>
      <c r="C52" s="4" t="s">
        <v>105</v>
      </c>
      <c r="D52" s="2" t="s">
        <v>104</v>
      </c>
      <c r="E52" s="5">
        <v>32100</v>
      </c>
      <c r="F52" s="5">
        <v>32100</v>
      </c>
      <c r="G52" s="6">
        <v>12</v>
      </c>
      <c r="H52" s="12">
        <v>385200</v>
      </c>
      <c r="I52" s="7">
        <v>385200</v>
      </c>
    </row>
    <row r="53" spans="1:9" x14ac:dyDescent="0.3">
      <c r="A53" s="2" t="s">
        <v>106</v>
      </c>
      <c r="B53" s="3">
        <v>7640340650706</v>
      </c>
      <c r="C53" s="4" t="s">
        <v>107</v>
      </c>
      <c r="D53" s="2" t="s">
        <v>106</v>
      </c>
      <c r="E53" s="5">
        <v>32100</v>
      </c>
      <c r="F53" s="5">
        <v>32100</v>
      </c>
      <c r="G53" s="6">
        <v>12</v>
      </c>
      <c r="H53" s="12">
        <v>385200</v>
      </c>
      <c r="I53" s="7">
        <v>385200</v>
      </c>
    </row>
    <row r="54" spans="1:9" x14ac:dyDescent="0.3">
      <c r="A54" s="2" t="s">
        <v>108</v>
      </c>
      <c r="B54" s="3">
        <v>7640340651369</v>
      </c>
      <c r="C54" s="4" t="s">
        <v>109</v>
      </c>
      <c r="D54" s="2" t="s">
        <v>108</v>
      </c>
      <c r="E54" s="5">
        <v>19750</v>
      </c>
      <c r="F54" s="5">
        <v>14812.5</v>
      </c>
      <c r="G54" s="6">
        <v>120</v>
      </c>
      <c r="H54" s="12">
        <v>2370000</v>
      </c>
      <c r="I54" s="7">
        <v>1777500</v>
      </c>
    </row>
    <row r="55" spans="1:9" x14ac:dyDescent="0.3">
      <c r="A55" s="2" t="s">
        <v>110</v>
      </c>
      <c r="B55" s="3">
        <v>7640340651345</v>
      </c>
      <c r="C55" s="4" t="s">
        <v>111</v>
      </c>
      <c r="D55" s="2" t="s">
        <v>110</v>
      </c>
      <c r="E55" s="5">
        <v>23550</v>
      </c>
      <c r="F55" s="5">
        <v>20017.599999999999</v>
      </c>
      <c r="G55" s="6">
        <v>25</v>
      </c>
      <c r="H55" s="12">
        <v>588750</v>
      </c>
      <c r="I55" s="7">
        <v>500440</v>
      </c>
    </row>
    <row r="56" spans="1:9" x14ac:dyDescent="0.3">
      <c r="A56" s="2" t="s">
        <v>112</v>
      </c>
      <c r="B56" s="14">
        <v>7640168931438</v>
      </c>
      <c r="C56" s="4" t="s">
        <v>113</v>
      </c>
      <c r="D56" s="2" t="s">
        <v>112</v>
      </c>
      <c r="E56" s="5">
        <v>23550</v>
      </c>
      <c r="F56" s="5">
        <v>23550</v>
      </c>
      <c r="G56" s="6">
        <v>25</v>
      </c>
      <c r="H56" s="12">
        <v>588750</v>
      </c>
      <c r="I56" s="7">
        <v>588750</v>
      </c>
    </row>
    <row r="57" spans="1:9" x14ac:dyDescent="0.3">
      <c r="A57" s="2" t="s">
        <v>114</v>
      </c>
      <c r="B57" s="3">
        <v>7640168930424</v>
      </c>
      <c r="C57" s="4" t="s">
        <v>115</v>
      </c>
      <c r="D57" s="2" t="s">
        <v>114</v>
      </c>
      <c r="E57" s="5">
        <v>23550</v>
      </c>
      <c r="F57" s="5">
        <v>23550</v>
      </c>
      <c r="G57" s="6">
        <v>25</v>
      </c>
      <c r="H57" s="12">
        <v>588750</v>
      </c>
      <c r="I57" s="7">
        <v>588750</v>
      </c>
    </row>
    <row r="58" spans="1:9" x14ac:dyDescent="0.3">
      <c r="A58" s="2" t="s">
        <v>116</v>
      </c>
      <c r="B58" s="3">
        <v>7640340650423</v>
      </c>
      <c r="C58" s="4" t="s">
        <v>117</v>
      </c>
      <c r="D58" s="2" t="s">
        <v>116</v>
      </c>
      <c r="E58" s="5">
        <v>23980</v>
      </c>
      <c r="F58" s="5">
        <v>20382.916666666668</v>
      </c>
      <c r="G58" s="6">
        <v>48</v>
      </c>
      <c r="H58" s="12">
        <v>1151040</v>
      </c>
      <c r="I58" s="7">
        <v>978380</v>
      </c>
    </row>
    <row r="59" spans="1:9" x14ac:dyDescent="0.3">
      <c r="A59" s="2" t="s">
        <v>118</v>
      </c>
      <c r="B59" s="3">
        <v>7640340650423</v>
      </c>
      <c r="C59" s="4" t="s">
        <v>119</v>
      </c>
      <c r="D59" s="2" t="s">
        <v>118</v>
      </c>
      <c r="E59" s="5">
        <v>23980</v>
      </c>
      <c r="F59" s="5">
        <v>20382.916666666668</v>
      </c>
      <c r="G59" s="6">
        <v>48</v>
      </c>
      <c r="H59" s="12">
        <v>1151040</v>
      </c>
      <c r="I59" s="7">
        <v>978380</v>
      </c>
    </row>
    <row r="60" spans="1:9" x14ac:dyDescent="0.3">
      <c r="A60" s="2" t="s">
        <v>120</v>
      </c>
      <c r="B60" s="3">
        <v>7640340650942</v>
      </c>
      <c r="C60" s="4" t="s">
        <v>121</v>
      </c>
      <c r="D60" s="2" t="s">
        <v>120</v>
      </c>
      <c r="E60" s="5">
        <v>26480</v>
      </c>
      <c r="F60" s="5">
        <v>20919.2</v>
      </c>
      <c r="G60" s="6">
        <v>50</v>
      </c>
      <c r="H60" s="12">
        <v>1324000</v>
      </c>
      <c r="I60" s="7">
        <v>1045960</v>
      </c>
    </row>
    <row r="61" spans="1:9" x14ac:dyDescent="0.3">
      <c r="A61" s="2" t="s">
        <v>122</v>
      </c>
      <c r="B61" s="3">
        <v>7640168931643</v>
      </c>
      <c r="C61" s="4" t="s">
        <v>123</v>
      </c>
      <c r="D61" s="2" t="s">
        <v>122</v>
      </c>
      <c r="E61" s="5">
        <v>23550</v>
      </c>
      <c r="F61" s="5">
        <v>23550</v>
      </c>
      <c r="G61" s="6">
        <v>10</v>
      </c>
      <c r="H61" s="12">
        <v>235500</v>
      </c>
      <c r="I61" s="7">
        <v>235500</v>
      </c>
    </row>
    <row r="62" spans="1:9" x14ac:dyDescent="0.3">
      <c r="A62" s="2" t="s">
        <v>124</v>
      </c>
      <c r="B62" s="3">
        <v>7640340641338</v>
      </c>
      <c r="C62" s="4" t="s">
        <v>125</v>
      </c>
      <c r="D62" s="2" t="s">
        <v>124</v>
      </c>
      <c r="E62" s="5">
        <v>50560</v>
      </c>
      <c r="F62" s="5">
        <v>50560</v>
      </c>
      <c r="G62" s="6">
        <v>20</v>
      </c>
      <c r="H62" s="12">
        <v>1011200</v>
      </c>
      <c r="I62" s="7">
        <v>1011200</v>
      </c>
    </row>
    <row r="63" spans="1:9" x14ac:dyDescent="0.3">
      <c r="A63" s="2" t="s">
        <v>126</v>
      </c>
      <c r="B63" s="3">
        <v>7640245620309</v>
      </c>
      <c r="C63" s="4" t="s">
        <v>127</v>
      </c>
      <c r="D63" s="2" t="s">
        <v>126</v>
      </c>
      <c r="E63" s="5">
        <v>44820</v>
      </c>
      <c r="F63" s="5">
        <v>44820</v>
      </c>
      <c r="G63" s="6">
        <v>12</v>
      </c>
      <c r="H63" s="12">
        <v>537840</v>
      </c>
      <c r="I63" s="7">
        <v>537840</v>
      </c>
    </row>
    <row r="64" spans="1:9" x14ac:dyDescent="0.3">
      <c r="A64" s="2" t="s">
        <v>128</v>
      </c>
      <c r="B64" s="3">
        <v>7640245620293</v>
      </c>
      <c r="C64" s="4" t="s">
        <v>129</v>
      </c>
      <c r="D64" s="2" t="s">
        <v>128</v>
      </c>
      <c r="E64" s="5">
        <v>44820</v>
      </c>
      <c r="F64" s="5">
        <v>44820</v>
      </c>
      <c r="G64" s="6">
        <v>12</v>
      </c>
      <c r="H64" s="12">
        <v>537840</v>
      </c>
      <c r="I64" s="7">
        <v>537840</v>
      </c>
    </row>
    <row r="65" spans="1:9" x14ac:dyDescent="0.3">
      <c r="A65" s="2" t="s">
        <v>130</v>
      </c>
      <c r="B65" s="3">
        <v>7640245620170</v>
      </c>
      <c r="C65" s="4" t="s">
        <v>131</v>
      </c>
      <c r="D65" s="2" t="s">
        <v>130</v>
      </c>
      <c r="E65" s="5">
        <v>61970</v>
      </c>
      <c r="F65" s="5">
        <v>61970</v>
      </c>
      <c r="G65" s="6">
        <v>6</v>
      </c>
      <c r="H65" s="12">
        <v>371820</v>
      </c>
      <c r="I65" s="7">
        <v>371820</v>
      </c>
    </row>
    <row r="66" spans="1:9" x14ac:dyDescent="0.3">
      <c r="A66" s="2" t="s">
        <v>132</v>
      </c>
      <c r="B66" s="3">
        <v>7640245620194</v>
      </c>
      <c r="C66" s="4" t="s">
        <v>133</v>
      </c>
      <c r="D66" s="2" t="s">
        <v>132</v>
      </c>
      <c r="E66" s="5">
        <v>61970</v>
      </c>
      <c r="F66" s="5">
        <v>61970</v>
      </c>
      <c r="G66" s="6">
        <v>6</v>
      </c>
      <c r="H66" s="12">
        <v>371820</v>
      </c>
      <c r="I66" s="7">
        <v>371820</v>
      </c>
    </row>
    <row r="67" spans="1:9" x14ac:dyDescent="0.3">
      <c r="A67" s="2" t="s">
        <v>134</v>
      </c>
      <c r="B67" s="3">
        <v>7640168939489</v>
      </c>
      <c r="C67" s="4" t="s">
        <v>135</v>
      </c>
      <c r="D67" s="2" t="s">
        <v>134</v>
      </c>
      <c r="E67" s="5">
        <v>190290</v>
      </c>
      <c r="F67" s="5">
        <v>152231.875</v>
      </c>
      <c r="G67" s="6">
        <v>32</v>
      </c>
      <c r="H67" s="12">
        <v>6089280</v>
      </c>
      <c r="I67" s="7">
        <v>4871420</v>
      </c>
    </row>
    <row r="68" spans="1:9" x14ac:dyDescent="0.3">
      <c r="A68" s="2" t="s">
        <v>136</v>
      </c>
      <c r="B68" s="13">
        <v>7640168939083</v>
      </c>
      <c r="C68" s="4" t="s">
        <v>137</v>
      </c>
      <c r="D68" s="2" t="s">
        <v>136</v>
      </c>
      <c r="E68" s="5">
        <v>36950</v>
      </c>
      <c r="F68" s="5">
        <v>36950</v>
      </c>
      <c r="G68" s="6">
        <v>5</v>
      </c>
      <c r="H68" s="12">
        <v>184750</v>
      </c>
      <c r="I68" s="7">
        <v>184750</v>
      </c>
    </row>
    <row r="69" spans="1:9" x14ac:dyDescent="0.3">
      <c r="A69" s="2" t="s">
        <v>138</v>
      </c>
      <c r="B69" s="13">
        <v>7640168937928</v>
      </c>
      <c r="C69" s="4" t="s">
        <v>139</v>
      </c>
      <c r="D69" s="2" t="s">
        <v>138</v>
      </c>
      <c r="E69" s="5">
        <v>36950</v>
      </c>
      <c r="F69" s="5">
        <v>36950</v>
      </c>
      <c r="G69" s="6">
        <v>5</v>
      </c>
      <c r="H69" s="12">
        <v>184750</v>
      </c>
      <c r="I69" s="7">
        <v>184750</v>
      </c>
    </row>
    <row r="70" spans="1:9" x14ac:dyDescent="0.3">
      <c r="A70" s="2" t="s">
        <v>140</v>
      </c>
      <c r="B70" s="3">
        <v>7640245620330</v>
      </c>
      <c r="C70" s="4" t="s">
        <v>141</v>
      </c>
      <c r="D70" s="2" t="s">
        <v>140</v>
      </c>
      <c r="E70" s="5">
        <v>36950</v>
      </c>
      <c r="F70" s="5">
        <v>36950</v>
      </c>
      <c r="G70" s="6">
        <v>5</v>
      </c>
      <c r="H70" s="12">
        <v>184750</v>
      </c>
      <c r="I70" s="7">
        <v>184750</v>
      </c>
    </row>
    <row r="71" spans="1:9" x14ac:dyDescent="0.3">
      <c r="A71" s="2" t="s">
        <v>142</v>
      </c>
      <c r="B71" s="3">
        <v>4603014004376</v>
      </c>
      <c r="C71" s="4" t="s">
        <v>143</v>
      </c>
      <c r="D71" s="2" t="s">
        <v>142</v>
      </c>
      <c r="E71" s="5">
        <v>35120</v>
      </c>
      <c r="F71" s="5">
        <v>29851.666666666668</v>
      </c>
      <c r="G71" s="6">
        <v>12</v>
      </c>
      <c r="H71" s="12">
        <v>421440</v>
      </c>
      <c r="I71" s="7">
        <v>358220</v>
      </c>
    </row>
    <row r="72" spans="1:9" x14ac:dyDescent="0.3">
      <c r="A72" s="2" t="s">
        <v>144</v>
      </c>
      <c r="B72" s="3">
        <v>4603014004437</v>
      </c>
      <c r="C72" s="4" t="s">
        <v>145</v>
      </c>
      <c r="D72" s="2" t="s">
        <v>144</v>
      </c>
      <c r="E72" s="5">
        <v>35120</v>
      </c>
      <c r="F72" s="5">
        <v>29851.666666666668</v>
      </c>
      <c r="G72" s="6">
        <v>12</v>
      </c>
      <c r="H72" s="12">
        <v>421440</v>
      </c>
      <c r="I72" s="7">
        <v>358220</v>
      </c>
    </row>
    <row r="73" spans="1:9" x14ac:dyDescent="0.3">
      <c r="A73" s="2" t="s">
        <v>146</v>
      </c>
      <c r="B73" s="3">
        <v>7640245620248</v>
      </c>
      <c r="C73" s="4" t="s">
        <v>147</v>
      </c>
      <c r="D73" s="2" t="s">
        <v>146</v>
      </c>
      <c r="E73" s="5">
        <v>94820</v>
      </c>
      <c r="F73" s="5">
        <v>75855.833333333328</v>
      </c>
      <c r="G73" s="6">
        <v>24</v>
      </c>
      <c r="H73" s="12">
        <v>2275680</v>
      </c>
      <c r="I73" s="7">
        <v>1820540</v>
      </c>
    </row>
    <row r="74" spans="1:9" x14ac:dyDescent="0.3">
      <c r="A74" s="2" t="s">
        <v>148</v>
      </c>
      <c r="B74" s="3">
        <v>7640245620255</v>
      </c>
      <c r="C74" s="4" t="s">
        <v>149</v>
      </c>
      <c r="D74" s="2" t="s">
        <v>148</v>
      </c>
      <c r="E74" s="5">
        <v>104200</v>
      </c>
      <c r="F74" s="5">
        <v>83360</v>
      </c>
      <c r="G74" s="6">
        <v>24</v>
      </c>
      <c r="H74" s="12">
        <v>2500800</v>
      </c>
      <c r="I74" s="7">
        <v>2000640</v>
      </c>
    </row>
    <row r="75" spans="1:9" x14ac:dyDescent="0.3">
      <c r="A75" s="2" t="s">
        <v>150</v>
      </c>
      <c r="B75" s="3">
        <v>7640245620286</v>
      </c>
      <c r="C75" s="4" t="s">
        <v>151</v>
      </c>
      <c r="D75" s="2" t="s">
        <v>150</v>
      </c>
      <c r="E75" s="5">
        <v>94820</v>
      </c>
      <c r="F75" s="5">
        <v>75855.833333333328</v>
      </c>
      <c r="G75" s="6">
        <v>24</v>
      </c>
      <c r="H75" s="12">
        <v>2275680</v>
      </c>
      <c r="I75" s="7">
        <v>1820540</v>
      </c>
    </row>
    <row r="76" spans="1:9" x14ac:dyDescent="0.3">
      <c r="A76" s="2" t="s">
        <v>152</v>
      </c>
      <c r="B76" s="3">
        <v>764068939878</v>
      </c>
      <c r="C76" s="4" t="s">
        <v>153</v>
      </c>
      <c r="D76" s="2" t="s">
        <v>152</v>
      </c>
      <c r="E76" s="5">
        <v>90780</v>
      </c>
      <c r="F76" s="5">
        <v>68085</v>
      </c>
      <c r="G76" s="6">
        <v>24</v>
      </c>
      <c r="H76" s="12">
        <v>2178720</v>
      </c>
      <c r="I76" s="7">
        <v>1634040</v>
      </c>
    </row>
    <row r="77" spans="1:9" x14ac:dyDescent="0.3">
      <c r="A77" s="2" t="s">
        <v>154</v>
      </c>
      <c r="B77" s="3">
        <v>7640168939748</v>
      </c>
      <c r="C77" s="4" t="s">
        <v>155</v>
      </c>
      <c r="D77" s="2" t="s">
        <v>154</v>
      </c>
      <c r="E77" s="5">
        <v>60000</v>
      </c>
      <c r="F77" s="5">
        <v>45000</v>
      </c>
      <c r="G77" s="6">
        <v>24</v>
      </c>
      <c r="H77" s="12">
        <v>1440000</v>
      </c>
      <c r="I77" s="7">
        <v>1080000</v>
      </c>
    </row>
    <row r="78" spans="1:9" x14ac:dyDescent="0.3">
      <c r="A78" s="2" t="s">
        <v>156</v>
      </c>
      <c r="B78" s="3">
        <v>4603014028853</v>
      </c>
      <c r="C78" s="4" t="s">
        <v>157</v>
      </c>
      <c r="D78" s="2" t="s">
        <v>156</v>
      </c>
      <c r="E78" s="5">
        <v>57590</v>
      </c>
      <c r="F78" s="5">
        <v>34554</v>
      </c>
      <c r="G78" s="6">
        <v>30</v>
      </c>
      <c r="H78" s="12">
        <v>1727700</v>
      </c>
      <c r="I78" s="7">
        <v>1036620</v>
      </c>
    </row>
    <row r="79" spans="1:9" x14ac:dyDescent="0.3">
      <c r="A79" s="2" t="s">
        <v>158</v>
      </c>
      <c r="B79" s="8">
        <v>4603014037534</v>
      </c>
      <c r="C79" s="4" t="s">
        <v>159</v>
      </c>
      <c r="D79" s="2" t="s">
        <v>158</v>
      </c>
      <c r="E79" s="5">
        <v>63380</v>
      </c>
      <c r="F79" s="5">
        <v>38028</v>
      </c>
      <c r="G79" s="6">
        <v>60</v>
      </c>
      <c r="H79" s="12">
        <v>3802800</v>
      </c>
      <c r="I79" s="7">
        <v>2281680</v>
      </c>
    </row>
    <row r="80" spans="1:9" x14ac:dyDescent="0.3">
      <c r="A80" s="2" t="s">
        <v>160</v>
      </c>
      <c r="B80" s="3">
        <v>4603014028846</v>
      </c>
      <c r="C80" s="4" t="s">
        <v>161</v>
      </c>
      <c r="D80" s="2" t="s">
        <v>160</v>
      </c>
      <c r="E80" s="5">
        <v>57590</v>
      </c>
      <c r="F80" s="5">
        <v>34554</v>
      </c>
      <c r="G80" s="6">
        <v>30</v>
      </c>
      <c r="H80" s="12">
        <v>1727700</v>
      </c>
      <c r="I80" s="7">
        <v>1036620</v>
      </c>
    </row>
    <row r="81" spans="1:9" x14ac:dyDescent="0.3">
      <c r="A81" s="2" t="s">
        <v>162</v>
      </c>
      <c r="B81" s="3">
        <v>4603014028884</v>
      </c>
      <c r="C81" s="4" t="s">
        <v>163</v>
      </c>
      <c r="D81" s="2" t="s">
        <v>162</v>
      </c>
      <c r="E81" s="5">
        <v>57590</v>
      </c>
      <c r="F81" s="5">
        <v>34554</v>
      </c>
      <c r="G81" s="6">
        <v>90</v>
      </c>
      <c r="H81" s="12">
        <v>5183100</v>
      </c>
      <c r="I81" s="7">
        <v>3109860</v>
      </c>
    </row>
    <row r="82" spans="1:9" x14ac:dyDescent="0.3">
      <c r="A82" s="2" t="s">
        <v>164</v>
      </c>
      <c r="B82" s="3">
        <v>4603014028907</v>
      </c>
      <c r="C82" s="4" t="s">
        <v>165</v>
      </c>
      <c r="D82" s="2" t="s">
        <v>164</v>
      </c>
      <c r="E82" s="5">
        <v>57590</v>
      </c>
      <c r="F82" s="5">
        <v>34554</v>
      </c>
      <c r="G82" s="6">
        <v>90</v>
      </c>
      <c r="H82" s="12">
        <v>5183100</v>
      </c>
      <c r="I82" s="7">
        <v>3109860</v>
      </c>
    </row>
    <row r="83" spans="1:9" x14ac:dyDescent="0.3">
      <c r="A83" s="2" t="s">
        <v>166</v>
      </c>
      <c r="B83" s="13">
        <v>4603014040107</v>
      </c>
      <c r="C83" s="4" t="s">
        <v>167</v>
      </c>
      <c r="D83" s="2" t="s">
        <v>166</v>
      </c>
      <c r="E83" s="5">
        <v>32420</v>
      </c>
      <c r="F83" s="5">
        <v>32420</v>
      </c>
      <c r="G83" s="6">
        <v>90</v>
      </c>
      <c r="H83" s="12">
        <v>2917800</v>
      </c>
      <c r="I83" s="7">
        <v>2917800</v>
      </c>
    </row>
    <row r="84" spans="1:9" x14ac:dyDescent="0.3">
      <c r="A84" s="2" t="s">
        <v>168</v>
      </c>
      <c r="B84" s="3">
        <v>7640245621425</v>
      </c>
      <c r="C84" s="4" t="s">
        <v>169</v>
      </c>
      <c r="D84" s="2" t="s">
        <v>168</v>
      </c>
      <c r="E84" s="5">
        <v>30100</v>
      </c>
      <c r="F84" s="5">
        <v>30100</v>
      </c>
      <c r="G84" s="6">
        <v>60</v>
      </c>
      <c r="H84" s="12">
        <v>1806000</v>
      </c>
      <c r="I84" s="7">
        <v>1806000</v>
      </c>
    </row>
    <row r="85" spans="1:9" x14ac:dyDescent="0.3">
      <c r="A85" s="2" t="s">
        <v>170</v>
      </c>
      <c r="B85" s="8">
        <v>7640245622082</v>
      </c>
      <c r="C85" s="4" t="s">
        <v>171</v>
      </c>
      <c r="D85" s="2" t="s">
        <v>170</v>
      </c>
      <c r="E85" s="5">
        <v>48430</v>
      </c>
      <c r="F85" s="5">
        <v>38743.333333333336</v>
      </c>
      <c r="G85" s="6">
        <v>6</v>
      </c>
      <c r="H85" s="12">
        <v>290580</v>
      </c>
      <c r="I85" s="7">
        <v>232460</v>
      </c>
    </row>
    <row r="86" spans="1:9" x14ac:dyDescent="0.3">
      <c r="A86" s="2" t="s">
        <v>172</v>
      </c>
      <c r="B86" s="8">
        <v>7640245622075</v>
      </c>
      <c r="C86" s="4" t="s">
        <v>173</v>
      </c>
      <c r="D86" s="2" t="s">
        <v>172</v>
      </c>
      <c r="E86" s="5">
        <v>48430</v>
      </c>
      <c r="F86" s="5">
        <v>38743.333333333336</v>
      </c>
      <c r="G86" s="6">
        <v>6</v>
      </c>
      <c r="H86" s="12">
        <v>290580</v>
      </c>
      <c r="I86" s="7">
        <v>232460</v>
      </c>
    </row>
    <row r="87" spans="1:9" x14ac:dyDescent="0.3">
      <c r="A87" s="2" t="s">
        <v>174</v>
      </c>
      <c r="B87" s="3">
        <v>7640245620866</v>
      </c>
      <c r="C87" s="4" t="s">
        <v>175</v>
      </c>
      <c r="D87" s="2" t="s">
        <v>174</v>
      </c>
      <c r="E87" s="5">
        <v>48430</v>
      </c>
      <c r="F87" s="5">
        <v>38744.166666666664</v>
      </c>
      <c r="G87" s="6">
        <v>12</v>
      </c>
      <c r="H87" s="12">
        <v>581160</v>
      </c>
      <c r="I87" s="7">
        <v>464930</v>
      </c>
    </row>
    <row r="88" spans="1:9" x14ac:dyDescent="0.3">
      <c r="A88" s="2" t="s">
        <v>176</v>
      </c>
      <c r="B88" s="3">
        <v>7640245620873</v>
      </c>
      <c r="C88" s="4" t="s">
        <v>177</v>
      </c>
      <c r="D88" s="2" t="s">
        <v>176</v>
      </c>
      <c r="E88" s="5">
        <v>48430</v>
      </c>
      <c r="F88" s="5">
        <v>38744.166666666664</v>
      </c>
      <c r="G88" s="6">
        <v>12</v>
      </c>
      <c r="H88" s="12">
        <v>581160</v>
      </c>
      <c r="I88" s="7">
        <v>464930</v>
      </c>
    </row>
    <row r="89" spans="1:9" x14ac:dyDescent="0.3">
      <c r="A89" s="2" t="s">
        <v>178</v>
      </c>
      <c r="B89" s="3">
        <v>7640168939816</v>
      </c>
      <c r="C89" s="4" t="s">
        <v>179</v>
      </c>
      <c r="D89" s="2" t="s">
        <v>178</v>
      </c>
      <c r="E89" s="5">
        <v>19790</v>
      </c>
      <c r="F89" s="5">
        <v>14842.5</v>
      </c>
      <c r="G89" s="6">
        <v>100</v>
      </c>
      <c r="H89" s="12">
        <v>1979000</v>
      </c>
      <c r="I89" s="7">
        <v>1484250</v>
      </c>
    </row>
    <row r="90" spans="1:9" x14ac:dyDescent="0.3">
      <c r="A90" s="2" t="s">
        <v>180</v>
      </c>
      <c r="B90" s="3">
        <v>7640168930004</v>
      </c>
      <c r="C90" s="4" t="s">
        <v>181</v>
      </c>
      <c r="D90" s="2" t="s">
        <v>180</v>
      </c>
      <c r="E90" s="5">
        <v>19790</v>
      </c>
      <c r="F90" s="5">
        <v>14842.5</v>
      </c>
      <c r="G90" s="6">
        <v>100</v>
      </c>
      <c r="H90" s="12">
        <v>1979000</v>
      </c>
      <c r="I90" s="7">
        <v>1484250</v>
      </c>
    </row>
    <row r="91" spans="1:9" x14ac:dyDescent="0.3">
      <c r="A91" s="2" t="s">
        <v>182</v>
      </c>
      <c r="B91" s="3">
        <v>7640245620132</v>
      </c>
      <c r="C91" s="4" t="s">
        <v>183</v>
      </c>
      <c r="D91" s="2" t="s">
        <v>182</v>
      </c>
      <c r="E91" s="5">
        <v>19790</v>
      </c>
      <c r="F91" s="5">
        <v>14842.5</v>
      </c>
      <c r="G91" s="6">
        <v>100</v>
      </c>
      <c r="H91" s="12">
        <v>1979000</v>
      </c>
      <c r="I91" s="7">
        <v>1484250</v>
      </c>
    </row>
    <row r="92" spans="1:9" x14ac:dyDescent="0.3">
      <c r="A92" s="2" t="s">
        <v>184</v>
      </c>
      <c r="B92" s="3">
        <v>7640108935078</v>
      </c>
      <c r="C92" s="4" t="s">
        <v>185</v>
      </c>
      <c r="D92" s="2" t="s">
        <v>184</v>
      </c>
      <c r="E92" s="5">
        <v>27370</v>
      </c>
      <c r="F92" s="5">
        <v>20527.5</v>
      </c>
      <c r="G92" s="6">
        <v>60</v>
      </c>
      <c r="H92" s="12">
        <v>1642200</v>
      </c>
      <c r="I92" s="7">
        <v>1231650</v>
      </c>
    </row>
    <row r="93" spans="1:9" x14ac:dyDescent="0.3">
      <c r="A93" s="2" t="s">
        <v>184</v>
      </c>
      <c r="B93" s="3">
        <v>7640168935252</v>
      </c>
      <c r="C93" s="4" t="s">
        <v>185</v>
      </c>
      <c r="D93" s="2" t="s">
        <v>184</v>
      </c>
      <c r="E93" s="5"/>
      <c r="F93" s="5"/>
      <c r="G93" s="6"/>
      <c r="H93" s="12"/>
      <c r="I93" s="7"/>
    </row>
    <row r="94" spans="1:9" x14ac:dyDescent="0.3">
      <c r="A94" s="2" t="s">
        <v>186</v>
      </c>
      <c r="B94" s="3">
        <v>7640245620231</v>
      </c>
      <c r="C94" s="4" t="s">
        <v>187</v>
      </c>
      <c r="D94" s="2" t="s">
        <v>186</v>
      </c>
      <c r="E94" s="5">
        <v>34520</v>
      </c>
      <c r="F94" s="5">
        <v>25890</v>
      </c>
      <c r="G94" s="6">
        <v>60</v>
      </c>
      <c r="H94" s="12">
        <v>2071200</v>
      </c>
      <c r="I94" s="7">
        <v>1553400</v>
      </c>
    </row>
    <row r="95" spans="1:9" x14ac:dyDescent="0.3">
      <c r="A95" s="2" t="s">
        <v>188</v>
      </c>
      <c r="B95" s="3">
        <v>7640245621412</v>
      </c>
      <c r="C95" s="4" t="s">
        <v>189</v>
      </c>
      <c r="D95" s="2" t="s">
        <v>188</v>
      </c>
      <c r="E95" s="5">
        <v>30100</v>
      </c>
      <c r="F95" s="5">
        <v>30100</v>
      </c>
      <c r="G95" s="6">
        <v>60</v>
      </c>
      <c r="H95" s="12">
        <v>1806000</v>
      </c>
      <c r="I95" s="7">
        <v>1806000</v>
      </c>
    </row>
    <row r="96" spans="1:9" x14ac:dyDescent="0.3">
      <c r="A96" s="2" t="s">
        <v>190</v>
      </c>
      <c r="B96" s="3">
        <v>4603014004789</v>
      </c>
      <c r="C96" s="4" t="s">
        <v>191</v>
      </c>
      <c r="D96" s="2" t="s">
        <v>190</v>
      </c>
      <c r="E96" s="5">
        <v>13990</v>
      </c>
      <c r="F96" s="5">
        <v>10492.5</v>
      </c>
      <c r="G96" s="6">
        <v>20</v>
      </c>
      <c r="H96" s="12">
        <v>279800</v>
      </c>
      <c r="I96" s="7">
        <v>209850</v>
      </c>
    </row>
    <row r="97" spans="1:9" x14ac:dyDescent="0.3">
      <c r="A97" s="2" t="s">
        <v>192</v>
      </c>
      <c r="B97" s="3">
        <v>4603014004741</v>
      </c>
      <c r="C97" s="4" t="s">
        <v>193</v>
      </c>
      <c r="D97" s="2" t="s">
        <v>192</v>
      </c>
      <c r="E97" s="5">
        <v>13990</v>
      </c>
      <c r="F97" s="5">
        <v>10492.5</v>
      </c>
      <c r="G97" s="6">
        <v>20</v>
      </c>
      <c r="H97" s="12">
        <v>279800</v>
      </c>
      <c r="I97" s="7">
        <v>209850</v>
      </c>
    </row>
    <row r="98" spans="1:9" x14ac:dyDescent="0.3">
      <c r="A98" s="2" t="s">
        <v>194</v>
      </c>
      <c r="B98" s="3">
        <v>4603014004802</v>
      </c>
      <c r="C98" s="4" t="s">
        <v>195</v>
      </c>
      <c r="D98" s="2" t="s">
        <v>194</v>
      </c>
      <c r="E98" s="5">
        <v>13990</v>
      </c>
      <c r="F98" s="5">
        <v>10492.5</v>
      </c>
      <c r="G98" s="6">
        <v>20</v>
      </c>
      <c r="H98" s="12">
        <v>279800</v>
      </c>
      <c r="I98" s="7">
        <v>209850</v>
      </c>
    </row>
    <row r="99" spans="1:9" x14ac:dyDescent="0.3">
      <c r="A99" s="2" t="s">
        <v>196</v>
      </c>
      <c r="B99" s="3">
        <v>4603014013422</v>
      </c>
      <c r="C99" s="4" t="s">
        <v>197</v>
      </c>
      <c r="D99" s="2" t="s">
        <v>196</v>
      </c>
      <c r="E99" s="5">
        <v>48700</v>
      </c>
      <c r="F99" s="5">
        <v>36525</v>
      </c>
      <c r="G99" s="6">
        <v>96</v>
      </c>
      <c r="H99" s="12">
        <v>4675200</v>
      </c>
      <c r="I99" s="7">
        <v>3506400</v>
      </c>
    </row>
    <row r="100" spans="1:9" x14ac:dyDescent="0.3">
      <c r="A100" s="2" t="s">
        <v>198</v>
      </c>
      <c r="B100" s="3">
        <v>4603014028679</v>
      </c>
      <c r="C100" s="4" t="s">
        <v>199</v>
      </c>
      <c r="D100" s="2" t="s">
        <v>198</v>
      </c>
      <c r="E100" s="5">
        <v>38000</v>
      </c>
      <c r="F100" s="5">
        <v>28500</v>
      </c>
      <c r="G100" s="6">
        <v>60</v>
      </c>
      <c r="H100" s="12">
        <v>2280000</v>
      </c>
      <c r="I100" s="7">
        <v>1710000</v>
      </c>
    </row>
    <row r="101" spans="1:9" x14ac:dyDescent="0.3">
      <c r="A101" s="2" t="s">
        <v>200</v>
      </c>
      <c r="B101" s="14">
        <v>7640245621924</v>
      </c>
      <c r="C101" s="4" t="s">
        <v>201</v>
      </c>
      <c r="D101" s="2" t="s">
        <v>200</v>
      </c>
      <c r="E101" s="5">
        <v>20630</v>
      </c>
      <c r="F101" s="5">
        <v>15472.5</v>
      </c>
      <c r="G101" s="6">
        <v>60</v>
      </c>
      <c r="H101" s="12">
        <v>1237800</v>
      </c>
      <c r="I101" s="7">
        <v>928350</v>
      </c>
    </row>
    <row r="102" spans="1:9" x14ac:dyDescent="0.3">
      <c r="A102" s="2" t="s">
        <v>202</v>
      </c>
      <c r="B102" s="3">
        <v>4603014011909</v>
      </c>
      <c r="C102" s="4" t="s">
        <v>203</v>
      </c>
      <c r="D102" s="2" t="s">
        <v>202</v>
      </c>
      <c r="E102" s="5">
        <v>42500</v>
      </c>
      <c r="F102" s="5">
        <v>31875</v>
      </c>
      <c r="G102" s="6">
        <v>60</v>
      </c>
      <c r="H102" s="12">
        <v>2550000</v>
      </c>
      <c r="I102" s="7">
        <v>1912500</v>
      </c>
    </row>
    <row r="103" spans="1:9" ht="15" thickBot="1" x14ac:dyDescent="0.35">
      <c r="A103" s="2" t="s">
        <v>204</v>
      </c>
      <c r="B103" s="3">
        <v>4603014007315</v>
      </c>
      <c r="C103" s="4" t="s">
        <v>205</v>
      </c>
      <c r="D103" s="2" t="s">
        <v>204</v>
      </c>
      <c r="E103" s="5">
        <v>42500</v>
      </c>
      <c r="F103" s="5">
        <v>31875</v>
      </c>
      <c r="G103" s="6">
        <v>60</v>
      </c>
      <c r="H103" s="12">
        <v>2550000</v>
      </c>
      <c r="I103" s="7">
        <v>1912500</v>
      </c>
    </row>
    <row r="104" spans="1:9" x14ac:dyDescent="0.3">
      <c r="A104" s="9" t="s">
        <v>206</v>
      </c>
      <c r="B104" s="10"/>
      <c r="C104" s="10"/>
      <c r="D104" s="9" t="s">
        <v>206</v>
      </c>
      <c r="E104" s="10"/>
      <c r="F104" s="10"/>
      <c r="G104" s="11">
        <v>5224</v>
      </c>
      <c r="H104" s="11">
        <f>SUM(H3:H103)</f>
        <v>167308500</v>
      </c>
      <c r="I104" s="11">
        <v>132262590</v>
      </c>
    </row>
  </sheetData>
  <phoneticPr fontId="3" type="noConversion"/>
  <conditionalFormatting sqref="B56">
    <cfRule type="duplicateValues" dxfId="1" priority="4"/>
  </conditionalFormatting>
  <conditionalFormatting sqref="B101">
    <cfRule type="duplicateValues" dxfId="0" priority="3"/>
  </conditionalFormatting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190A1-258E-4033-A068-989C77D0A42D}">
  <dimension ref="B2:I93"/>
  <sheetViews>
    <sheetView tabSelected="1" zoomScale="130" zoomScaleNormal="130" workbookViewId="0">
      <selection activeCell="D2" sqref="D2"/>
    </sheetView>
  </sheetViews>
  <sheetFormatPr defaultRowHeight="10.199999999999999" x14ac:dyDescent="0.2"/>
  <cols>
    <col min="1" max="1" width="5.21875" style="17" customWidth="1"/>
    <col min="2" max="2" width="9.21875" style="17" bestFit="1" customWidth="1"/>
    <col min="3" max="3" width="10.88671875" style="18" bestFit="1" customWidth="1"/>
    <col min="4" max="4" width="68.21875" style="17" bestFit="1" customWidth="1"/>
    <col min="5" max="5" width="6.5546875" style="17" bestFit="1" customWidth="1"/>
    <col min="6" max="6" width="5.88671875" style="17" bestFit="1" customWidth="1"/>
    <col min="7" max="7" width="6.88671875" style="19" bestFit="1" customWidth="1"/>
    <col min="8" max="9" width="8.5546875" style="17" bestFit="1" customWidth="1"/>
    <col min="10" max="16384" width="8.88671875" style="17"/>
  </cols>
  <sheetData>
    <row r="2" spans="2:9" ht="20.399999999999999" x14ac:dyDescent="0.2">
      <c r="B2" s="20" t="s">
        <v>0</v>
      </c>
      <c r="C2" s="21" t="s">
        <v>1</v>
      </c>
      <c r="D2" s="20" t="s">
        <v>2</v>
      </c>
      <c r="E2" s="22" t="s">
        <v>207</v>
      </c>
      <c r="F2" s="22" t="s">
        <v>208</v>
      </c>
      <c r="G2" s="22" t="s">
        <v>211</v>
      </c>
      <c r="H2" s="22" t="s">
        <v>209</v>
      </c>
      <c r="I2" s="22" t="s">
        <v>210</v>
      </c>
    </row>
    <row r="3" spans="2:9" x14ac:dyDescent="0.2">
      <c r="B3" s="23" t="s">
        <v>102</v>
      </c>
      <c r="C3" s="24">
        <v>7640340650690</v>
      </c>
      <c r="D3" s="23" t="s">
        <v>103</v>
      </c>
      <c r="E3" s="25">
        <v>33760</v>
      </c>
      <c r="F3" s="25">
        <v>33760</v>
      </c>
      <c r="G3" s="26">
        <v>12</v>
      </c>
      <c r="H3" s="27">
        <f>E3*G3</f>
        <v>405120</v>
      </c>
      <c r="I3" s="27">
        <f>F3*G3</f>
        <v>405120</v>
      </c>
    </row>
    <row r="4" spans="2:9" x14ac:dyDescent="0.2">
      <c r="B4" s="23" t="s">
        <v>104</v>
      </c>
      <c r="C4" s="24">
        <v>7640340650713</v>
      </c>
      <c r="D4" s="23" t="s">
        <v>105</v>
      </c>
      <c r="E4" s="25">
        <v>33760</v>
      </c>
      <c r="F4" s="25">
        <v>33760</v>
      </c>
      <c r="G4" s="26">
        <v>12</v>
      </c>
      <c r="H4" s="27">
        <f t="shared" ref="H4:H67" si="0">E4*G4</f>
        <v>405120</v>
      </c>
      <c r="I4" s="27">
        <f t="shared" ref="I4:I67" si="1">F4*G4</f>
        <v>405120</v>
      </c>
    </row>
    <row r="5" spans="2:9" x14ac:dyDescent="0.2">
      <c r="B5" s="23" t="s">
        <v>106</v>
      </c>
      <c r="C5" s="24">
        <v>7640340650706</v>
      </c>
      <c r="D5" s="23" t="s">
        <v>107</v>
      </c>
      <c r="E5" s="25">
        <v>33760</v>
      </c>
      <c r="F5" s="25">
        <v>33760</v>
      </c>
      <c r="G5" s="26">
        <v>12</v>
      </c>
      <c r="H5" s="27">
        <f t="shared" si="0"/>
        <v>405120</v>
      </c>
      <c r="I5" s="27">
        <f t="shared" si="1"/>
        <v>405120</v>
      </c>
    </row>
    <row r="6" spans="2:9" x14ac:dyDescent="0.2">
      <c r="B6" s="23" t="s">
        <v>108</v>
      </c>
      <c r="C6" s="24">
        <v>7640340651369</v>
      </c>
      <c r="D6" s="23" t="s">
        <v>109</v>
      </c>
      <c r="E6" s="25">
        <v>20700</v>
      </c>
      <c r="F6" s="25">
        <v>15939</v>
      </c>
      <c r="G6" s="26">
        <v>24</v>
      </c>
      <c r="H6" s="27">
        <f t="shared" si="0"/>
        <v>496800</v>
      </c>
      <c r="I6" s="27">
        <f t="shared" si="1"/>
        <v>382536</v>
      </c>
    </row>
    <row r="7" spans="2:9" x14ac:dyDescent="0.2">
      <c r="B7" s="23" t="s">
        <v>110</v>
      </c>
      <c r="C7" s="24">
        <v>7640340651345</v>
      </c>
      <c r="D7" s="23" t="s">
        <v>111</v>
      </c>
      <c r="E7" s="25">
        <v>24710</v>
      </c>
      <c r="F7" s="25">
        <v>20756.400000000001</v>
      </c>
      <c r="G7" s="26">
        <v>25</v>
      </c>
      <c r="H7" s="27">
        <f t="shared" si="0"/>
        <v>617750</v>
      </c>
      <c r="I7" s="27">
        <f t="shared" si="1"/>
        <v>518910.00000000006</v>
      </c>
    </row>
    <row r="8" spans="2:9" x14ac:dyDescent="0.2">
      <c r="B8" s="23" t="s">
        <v>112</v>
      </c>
      <c r="C8" s="24">
        <v>7640168931438</v>
      </c>
      <c r="D8" s="23" t="s">
        <v>113</v>
      </c>
      <c r="E8" s="25">
        <v>24710</v>
      </c>
      <c r="F8" s="25">
        <v>24710</v>
      </c>
      <c r="G8" s="26">
        <v>25</v>
      </c>
      <c r="H8" s="27">
        <f t="shared" si="0"/>
        <v>617750</v>
      </c>
      <c r="I8" s="27">
        <f t="shared" si="1"/>
        <v>617750</v>
      </c>
    </row>
    <row r="9" spans="2:9" x14ac:dyDescent="0.2">
      <c r="B9" s="23" t="s">
        <v>114</v>
      </c>
      <c r="C9" s="24">
        <v>7640168930424</v>
      </c>
      <c r="D9" s="23" t="s">
        <v>115</v>
      </c>
      <c r="E9" s="25">
        <v>24710</v>
      </c>
      <c r="F9" s="25">
        <v>24710</v>
      </c>
      <c r="G9" s="26">
        <v>25</v>
      </c>
      <c r="H9" s="27">
        <f t="shared" si="0"/>
        <v>617750</v>
      </c>
      <c r="I9" s="27">
        <f t="shared" si="1"/>
        <v>617750</v>
      </c>
    </row>
    <row r="10" spans="2:9" x14ac:dyDescent="0.2">
      <c r="B10" s="23" t="s">
        <v>116</v>
      </c>
      <c r="C10" s="24">
        <v>7640340650423</v>
      </c>
      <c r="D10" s="23" t="s">
        <v>117</v>
      </c>
      <c r="E10" s="25">
        <v>25260</v>
      </c>
      <c r="F10" s="25">
        <v>20965.8</v>
      </c>
      <c r="G10" s="26">
        <v>24</v>
      </c>
      <c r="H10" s="27">
        <f t="shared" si="0"/>
        <v>606240</v>
      </c>
      <c r="I10" s="27">
        <f t="shared" si="1"/>
        <v>503179.19999999995</v>
      </c>
    </row>
    <row r="11" spans="2:9" x14ac:dyDescent="0.2">
      <c r="B11" s="23" t="s">
        <v>118</v>
      </c>
      <c r="C11" s="24">
        <v>7640340650423</v>
      </c>
      <c r="D11" s="23" t="s">
        <v>119</v>
      </c>
      <c r="E11" s="25">
        <v>25260</v>
      </c>
      <c r="F11" s="25">
        <v>20965.8</v>
      </c>
      <c r="G11" s="26">
        <v>24</v>
      </c>
      <c r="H11" s="27">
        <f t="shared" si="0"/>
        <v>606240</v>
      </c>
      <c r="I11" s="27">
        <f t="shared" si="1"/>
        <v>503179.19999999995</v>
      </c>
    </row>
    <row r="12" spans="2:9" x14ac:dyDescent="0.2">
      <c r="B12" s="23" t="s">
        <v>231</v>
      </c>
      <c r="C12" s="24">
        <f>VLOOKUP(B12,[1]Лист1!$B:$C,2,0)</f>
        <v>7640340650935</v>
      </c>
      <c r="D12" s="23" t="s">
        <v>212</v>
      </c>
      <c r="E12" s="25">
        <v>27900</v>
      </c>
      <c r="F12" s="25">
        <v>22599</v>
      </c>
      <c r="G12" s="26">
        <v>24</v>
      </c>
      <c r="H12" s="27">
        <f t="shared" si="0"/>
        <v>669600</v>
      </c>
      <c r="I12" s="27">
        <f t="shared" si="1"/>
        <v>542376</v>
      </c>
    </row>
    <row r="13" spans="2:9" x14ac:dyDescent="0.2">
      <c r="B13" s="23" t="s">
        <v>6</v>
      </c>
      <c r="C13" s="24">
        <v>7640168938413</v>
      </c>
      <c r="D13" s="23" t="s">
        <v>7</v>
      </c>
      <c r="E13" s="25">
        <v>19930</v>
      </c>
      <c r="F13" s="25">
        <v>15146.8</v>
      </c>
      <c r="G13" s="26">
        <v>24</v>
      </c>
      <c r="H13" s="27">
        <f t="shared" si="0"/>
        <v>478320</v>
      </c>
      <c r="I13" s="27">
        <f t="shared" si="1"/>
        <v>363523.19999999995</v>
      </c>
    </row>
    <row r="14" spans="2:9" x14ac:dyDescent="0.2">
      <c r="B14" s="23" t="s">
        <v>12</v>
      </c>
      <c r="C14" s="24">
        <v>7640340650393</v>
      </c>
      <c r="D14" s="23" t="s">
        <v>13</v>
      </c>
      <c r="E14" s="25">
        <v>19930</v>
      </c>
      <c r="F14" s="25">
        <v>15146.8</v>
      </c>
      <c r="G14" s="26">
        <v>24</v>
      </c>
      <c r="H14" s="27">
        <f t="shared" si="0"/>
        <v>478320</v>
      </c>
      <c r="I14" s="27">
        <f t="shared" si="1"/>
        <v>363523.19999999995</v>
      </c>
    </row>
    <row r="15" spans="2:9" x14ac:dyDescent="0.2">
      <c r="B15" s="23" t="s">
        <v>8</v>
      </c>
      <c r="C15" s="24">
        <v>7640168931919</v>
      </c>
      <c r="D15" s="23" t="s">
        <v>9</v>
      </c>
      <c r="E15" s="25">
        <v>19930</v>
      </c>
      <c r="F15" s="25">
        <v>15146.8</v>
      </c>
      <c r="G15" s="26">
        <v>24</v>
      </c>
      <c r="H15" s="27">
        <f t="shared" si="0"/>
        <v>478320</v>
      </c>
      <c r="I15" s="27">
        <f t="shared" si="1"/>
        <v>363523.19999999995</v>
      </c>
    </row>
    <row r="16" spans="2:9" x14ac:dyDescent="0.2">
      <c r="B16" s="23" t="s">
        <v>10</v>
      </c>
      <c r="C16" s="24">
        <v>7640168937157</v>
      </c>
      <c r="D16" s="23" t="s">
        <v>11</v>
      </c>
      <c r="E16" s="25">
        <v>27900</v>
      </c>
      <c r="F16" s="25">
        <v>22599</v>
      </c>
      <c r="G16" s="26">
        <v>16</v>
      </c>
      <c r="H16" s="27">
        <f t="shared" si="0"/>
        <v>446400</v>
      </c>
      <c r="I16" s="27">
        <f t="shared" si="1"/>
        <v>361584</v>
      </c>
    </row>
    <row r="17" spans="2:9" x14ac:dyDescent="0.2">
      <c r="B17" s="23" t="s">
        <v>14</v>
      </c>
      <c r="C17" s="24">
        <v>7640168935573</v>
      </c>
      <c r="D17" s="23" t="s">
        <v>15</v>
      </c>
      <c r="E17" s="25">
        <v>31610</v>
      </c>
      <c r="F17" s="25">
        <v>25604.1</v>
      </c>
      <c r="G17" s="26">
        <v>16</v>
      </c>
      <c r="H17" s="27">
        <f t="shared" si="0"/>
        <v>505760</v>
      </c>
      <c r="I17" s="27">
        <f t="shared" si="1"/>
        <v>409665.6</v>
      </c>
    </row>
    <row r="18" spans="2:9" x14ac:dyDescent="0.2">
      <c r="B18" s="23" t="s">
        <v>16</v>
      </c>
      <c r="C18" s="24">
        <v>7640168930479</v>
      </c>
      <c r="D18" s="23" t="s">
        <v>17</v>
      </c>
      <c r="E18" s="25">
        <v>19930</v>
      </c>
      <c r="F18" s="25">
        <v>15146.8</v>
      </c>
      <c r="G18" s="26">
        <v>24</v>
      </c>
      <c r="H18" s="27">
        <f t="shared" si="0"/>
        <v>478320</v>
      </c>
      <c r="I18" s="27">
        <f t="shared" si="1"/>
        <v>363523.19999999995</v>
      </c>
    </row>
    <row r="19" spans="2:9" x14ac:dyDescent="0.2">
      <c r="B19" s="23" t="s">
        <v>18</v>
      </c>
      <c r="C19" s="24">
        <v>7640168930509</v>
      </c>
      <c r="D19" s="23" t="s">
        <v>19</v>
      </c>
      <c r="E19" s="25">
        <v>19930</v>
      </c>
      <c r="F19" s="25">
        <v>15146.8</v>
      </c>
      <c r="G19" s="26">
        <v>24</v>
      </c>
      <c r="H19" s="27">
        <f t="shared" si="0"/>
        <v>478320</v>
      </c>
      <c r="I19" s="27">
        <f t="shared" si="1"/>
        <v>363523.19999999995</v>
      </c>
    </row>
    <row r="20" spans="2:9" x14ac:dyDescent="0.2">
      <c r="B20" s="23" t="s">
        <v>120</v>
      </c>
      <c r="C20" s="24">
        <v>7640340650942</v>
      </c>
      <c r="D20" s="23" t="s">
        <v>121</v>
      </c>
      <c r="E20" s="25">
        <v>27900</v>
      </c>
      <c r="F20" s="25">
        <v>22599</v>
      </c>
      <c r="G20" s="26">
        <v>24</v>
      </c>
      <c r="H20" s="27">
        <f t="shared" si="0"/>
        <v>669600</v>
      </c>
      <c r="I20" s="27">
        <f t="shared" si="1"/>
        <v>542376</v>
      </c>
    </row>
    <row r="21" spans="2:9" x14ac:dyDescent="0.2">
      <c r="B21" s="23" t="s">
        <v>20</v>
      </c>
      <c r="C21" s="24">
        <v>7640168931636</v>
      </c>
      <c r="D21" s="23" t="s">
        <v>21</v>
      </c>
      <c r="E21" s="25">
        <v>24710</v>
      </c>
      <c r="F21" s="25">
        <v>24710</v>
      </c>
      <c r="G21" s="26">
        <v>4</v>
      </c>
      <c r="H21" s="27">
        <f t="shared" si="0"/>
        <v>98840</v>
      </c>
      <c r="I21" s="27">
        <f t="shared" si="1"/>
        <v>98840</v>
      </c>
    </row>
    <row r="22" spans="2:9" x14ac:dyDescent="0.2">
      <c r="B22" s="23" t="s">
        <v>22</v>
      </c>
      <c r="C22" s="24">
        <v>7640168936457</v>
      </c>
      <c r="D22" s="23" t="s">
        <v>23</v>
      </c>
      <c r="E22" s="25">
        <v>17320</v>
      </c>
      <c r="F22" s="25">
        <v>13682.8</v>
      </c>
      <c r="G22" s="26">
        <v>24</v>
      </c>
      <c r="H22" s="27">
        <f t="shared" si="0"/>
        <v>415680</v>
      </c>
      <c r="I22" s="27">
        <f t="shared" si="1"/>
        <v>328387.19999999995</v>
      </c>
    </row>
    <row r="23" spans="2:9" x14ac:dyDescent="0.2">
      <c r="B23" s="23" t="s">
        <v>126</v>
      </c>
      <c r="C23" s="24">
        <v>7640245620309</v>
      </c>
      <c r="D23" s="23" t="s">
        <v>127</v>
      </c>
      <c r="E23" s="25">
        <v>47170</v>
      </c>
      <c r="F23" s="25">
        <v>47170</v>
      </c>
      <c r="G23" s="26">
        <v>12</v>
      </c>
      <c r="H23" s="27">
        <f t="shared" si="0"/>
        <v>566040</v>
      </c>
      <c r="I23" s="27">
        <f t="shared" si="1"/>
        <v>566040</v>
      </c>
    </row>
    <row r="24" spans="2:9" x14ac:dyDescent="0.2">
      <c r="B24" s="23" t="s">
        <v>128</v>
      </c>
      <c r="C24" s="24">
        <v>7640245620293</v>
      </c>
      <c r="D24" s="23" t="s">
        <v>129</v>
      </c>
      <c r="E24" s="25">
        <v>47170</v>
      </c>
      <c r="F24" s="25">
        <v>47170</v>
      </c>
      <c r="G24" s="26">
        <v>12</v>
      </c>
      <c r="H24" s="27">
        <f t="shared" si="0"/>
        <v>566040</v>
      </c>
      <c r="I24" s="27">
        <f t="shared" si="1"/>
        <v>566040</v>
      </c>
    </row>
    <row r="25" spans="2:9" x14ac:dyDescent="0.2">
      <c r="B25" s="23" t="s">
        <v>130</v>
      </c>
      <c r="C25" s="24">
        <v>7640245620170</v>
      </c>
      <c r="D25" s="23" t="s">
        <v>131</v>
      </c>
      <c r="E25" s="25">
        <v>65050</v>
      </c>
      <c r="F25" s="25">
        <v>65050</v>
      </c>
      <c r="G25" s="26">
        <v>6</v>
      </c>
      <c r="H25" s="27">
        <f t="shared" si="0"/>
        <v>390300</v>
      </c>
      <c r="I25" s="27">
        <f t="shared" si="1"/>
        <v>390300</v>
      </c>
    </row>
    <row r="26" spans="2:9" x14ac:dyDescent="0.2">
      <c r="B26" s="23" t="s">
        <v>132</v>
      </c>
      <c r="C26" s="24">
        <v>7640245620194</v>
      </c>
      <c r="D26" s="23" t="s">
        <v>133</v>
      </c>
      <c r="E26" s="25">
        <v>65050</v>
      </c>
      <c r="F26" s="25">
        <v>65050</v>
      </c>
      <c r="G26" s="26">
        <v>6</v>
      </c>
      <c r="H26" s="27">
        <f t="shared" si="0"/>
        <v>390300</v>
      </c>
      <c r="I26" s="27">
        <f t="shared" si="1"/>
        <v>390300</v>
      </c>
    </row>
    <row r="27" spans="2:9" x14ac:dyDescent="0.2">
      <c r="B27" s="23" t="s">
        <v>232</v>
      </c>
      <c r="C27" s="24">
        <v>7640245621047</v>
      </c>
      <c r="D27" s="23" t="s">
        <v>213</v>
      </c>
      <c r="E27" s="25">
        <v>38400</v>
      </c>
      <c r="F27" s="25">
        <v>32640</v>
      </c>
      <c r="G27" s="26">
        <v>12</v>
      </c>
      <c r="H27" s="27">
        <f t="shared" si="0"/>
        <v>460800</v>
      </c>
      <c r="I27" s="27">
        <f t="shared" si="1"/>
        <v>391680</v>
      </c>
    </row>
    <row r="28" spans="2:9" x14ac:dyDescent="0.2">
      <c r="B28" s="23" t="s">
        <v>138</v>
      </c>
      <c r="C28" s="24">
        <v>7640168937928</v>
      </c>
      <c r="D28" s="23" t="s">
        <v>139</v>
      </c>
      <c r="E28" s="25">
        <v>38740</v>
      </c>
      <c r="F28" s="25">
        <v>38740</v>
      </c>
      <c r="G28" s="26">
        <v>6</v>
      </c>
      <c r="H28" s="27">
        <f t="shared" si="0"/>
        <v>232440</v>
      </c>
      <c r="I28" s="27">
        <f t="shared" si="1"/>
        <v>232440</v>
      </c>
    </row>
    <row r="29" spans="2:9" x14ac:dyDescent="0.2">
      <c r="B29" s="23" t="s">
        <v>233</v>
      </c>
      <c r="C29" s="24">
        <v>7640245620347</v>
      </c>
      <c r="D29" s="23" t="s">
        <v>214</v>
      </c>
      <c r="E29" s="25">
        <v>38740</v>
      </c>
      <c r="F29" s="25">
        <v>38740</v>
      </c>
      <c r="G29" s="26">
        <v>10</v>
      </c>
      <c r="H29" s="27">
        <f t="shared" si="0"/>
        <v>387400</v>
      </c>
      <c r="I29" s="27">
        <f t="shared" si="1"/>
        <v>387400</v>
      </c>
    </row>
    <row r="30" spans="2:9" x14ac:dyDescent="0.2">
      <c r="B30" s="23" t="s">
        <v>152</v>
      </c>
      <c r="C30" s="24">
        <v>764068939878</v>
      </c>
      <c r="D30" s="23" t="s">
        <v>153</v>
      </c>
      <c r="E30" s="25">
        <v>95250</v>
      </c>
      <c r="F30" s="25">
        <v>71437.5</v>
      </c>
      <c r="G30" s="26">
        <v>12</v>
      </c>
      <c r="H30" s="27">
        <f t="shared" si="0"/>
        <v>1143000</v>
      </c>
      <c r="I30" s="27">
        <f t="shared" si="1"/>
        <v>857250</v>
      </c>
    </row>
    <row r="31" spans="2:9" x14ac:dyDescent="0.2">
      <c r="B31" s="23" t="s">
        <v>154</v>
      </c>
      <c r="C31" s="24">
        <v>7640168939748</v>
      </c>
      <c r="D31" s="23" t="s">
        <v>155</v>
      </c>
      <c r="E31" s="25">
        <v>63030</v>
      </c>
      <c r="F31" s="25">
        <v>47272.5</v>
      </c>
      <c r="G31" s="26">
        <v>6</v>
      </c>
      <c r="H31" s="27">
        <f t="shared" si="0"/>
        <v>378180</v>
      </c>
      <c r="I31" s="27">
        <f t="shared" si="1"/>
        <v>283635</v>
      </c>
    </row>
    <row r="32" spans="2:9" x14ac:dyDescent="0.2">
      <c r="B32" s="23" t="s">
        <v>36</v>
      </c>
      <c r="C32" s="24">
        <v>4603014012043</v>
      </c>
      <c r="D32" s="23" t="s">
        <v>37</v>
      </c>
      <c r="E32" s="25">
        <v>24800</v>
      </c>
      <c r="F32" s="25">
        <v>24800</v>
      </c>
      <c r="G32" s="26">
        <v>32</v>
      </c>
      <c r="H32" s="27">
        <f t="shared" si="0"/>
        <v>793600</v>
      </c>
      <c r="I32" s="27">
        <f t="shared" si="1"/>
        <v>793600</v>
      </c>
    </row>
    <row r="33" spans="2:9" x14ac:dyDescent="0.2">
      <c r="B33" s="23" t="s">
        <v>156</v>
      </c>
      <c r="C33" s="24">
        <v>4603014028853</v>
      </c>
      <c r="D33" s="23" t="s">
        <v>157</v>
      </c>
      <c r="E33" s="25">
        <v>60470</v>
      </c>
      <c r="F33" s="25">
        <v>42329</v>
      </c>
      <c r="G33" s="26">
        <v>18</v>
      </c>
      <c r="H33" s="27">
        <f t="shared" si="0"/>
        <v>1088460</v>
      </c>
      <c r="I33" s="27">
        <f t="shared" si="1"/>
        <v>761922</v>
      </c>
    </row>
    <row r="34" spans="2:9" x14ac:dyDescent="0.2">
      <c r="B34" s="23" t="s">
        <v>158</v>
      </c>
      <c r="C34" s="24">
        <v>4603014037534</v>
      </c>
      <c r="D34" s="23" t="s">
        <v>159</v>
      </c>
      <c r="E34" s="25">
        <v>62200</v>
      </c>
      <c r="F34" s="25">
        <v>43540</v>
      </c>
      <c r="G34" s="26">
        <v>18</v>
      </c>
      <c r="H34" s="27">
        <f t="shared" si="0"/>
        <v>1119600</v>
      </c>
      <c r="I34" s="27">
        <f t="shared" si="1"/>
        <v>783720</v>
      </c>
    </row>
    <row r="35" spans="2:9" x14ac:dyDescent="0.2">
      <c r="B35" s="23" t="s">
        <v>160</v>
      </c>
      <c r="C35" s="24">
        <v>4603014028846</v>
      </c>
      <c r="D35" s="23" t="s">
        <v>161</v>
      </c>
      <c r="E35" s="25">
        <v>60470</v>
      </c>
      <c r="F35" s="25">
        <v>42329</v>
      </c>
      <c r="G35" s="26">
        <v>18</v>
      </c>
      <c r="H35" s="27">
        <f t="shared" si="0"/>
        <v>1088460</v>
      </c>
      <c r="I35" s="27">
        <f t="shared" si="1"/>
        <v>761922</v>
      </c>
    </row>
    <row r="36" spans="2:9" x14ac:dyDescent="0.2">
      <c r="B36" s="23" t="s">
        <v>162</v>
      </c>
      <c r="C36" s="24">
        <v>4603014028884</v>
      </c>
      <c r="D36" s="23" t="s">
        <v>163</v>
      </c>
      <c r="E36" s="25">
        <v>60470</v>
      </c>
      <c r="F36" s="25">
        <v>42329</v>
      </c>
      <c r="G36" s="26">
        <v>18</v>
      </c>
      <c r="H36" s="27">
        <f t="shared" si="0"/>
        <v>1088460</v>
      </c>
      <c r="I36" s="27">
        <f t="shared" si="1"/>
        <v>761922</v>
      </c>
    </row>
    <row r="37" spans="2:9" x14ac:dyDescent="0.2">
      <c r="B37" s="23" t="s">
        <v>164</v>
      </c>
      <c r="C37" s="24">
        <v>4603014028907</v>
      </c>
      <c r="D37" s="23" t="s">
        <v>165</v>
      </c>
      <c r="E37" s="25">
        <v>60470</v>
      </c>
      <c r="F37" s="25">
        <v>42329</v>
      </c>
      <c r="G37" s="26">
        <v>18</v>
      </c>
      <c r="H37" s="27">
        <f t="shared" si="0"/>
        <v>1088460</v>
      </c>
      <c r="I37" s="27">
        <f t="shared" si="1"/>
        <v>761922</v>
      </c>
    </row>
    <row r="38" spans="2:9" x14ac:dyDescent="0.2">
      <c r="B38" s="23" t="s">
        <v>234</v>
      </c>
      <c r="C38" s="24">
        <f>VLOOKUP(B38,[1]Лист1!$B:$C,2,0)</f>
        <v>4603014040114</v>
      </c>
      <c r="D38" s="23" t="s">
        <v>215</v>
      </c>
      <c r="E38" s="25">
        <v>34210</v>
      </c>
      <c r="F38" s="25">
        <v>34210</v>
      </c>
      <c r="G38" s="26">
        <v>18</v>
      </c>
      <c r="H38" s="27">
        <f t="shared" si="0"/>
        <v>615780</v>
      </c>
      <c r="I38" s="27">
        <f t="shared" si="1"/>
        <v>615780</v>
      </c>
    </row>
    <row r="39" spans="2:9" x14ac:dyDescent="0.2">
      <c r="B39" s="23" t="s">
        <v>168</v>
      </c>
      <c r="C39" s="24">
        <v>7640245621425</v>
      </c>
      <c r="D39" s="23" t="s">
        <v>169</v>
      </c>
      <c r="E39" s="25">
        <v>31690</v>
      </c>
      <c r="F39" s="25">
        <v>31690</v>
      </c>
      <c r="G39" s="26">
        <v>24</v>
      </c>
      <c r="H39" s="27">
        <f t="shared" si="0"/>
        <v>760560</v>
      </c>
      <c r="I39" s="27">
        <f t="shared" si="1"/>
        <v>760560</v>
      </c>
    </row>
    <row r="40" spans="2:9" x14ac:dyDescent="0.2">
      <c r="B40" s="23" t="s">
        <v>235</v>
      </c>
      <c r="C40" s="24">
        <f>VLOOKUP(B40,[1]Лист1!$B:$C,2,0)</f>
        <v>4603014038678</v>
      </c>
      <c r="D40" s="23" t="s">
        <v>216</v>
      </c>
      <c r="E40" s="25">
        <v>14240</v>
      </c>
      <c r="F40" s="25">
        <v>14240</v>
      </c>
      <c r="G40" s="26">
        <v>25</v>
      </c>
      <c r="H40" s="27">
        <f t="shared" si="0"/>
        <v>356000</v>
      </c>
      <c r="I40" s="27">
        <f t="shared" si="1"/>
        <v>356000</v>
      </c>
    </row>
    <row r="41" spans="2:9" x14ac:dyDescent="0.2">
      <c r="B41" s="23" t="s">
        <v>236</v>
      </c>
      <c r="C41" s="24">
        <f>VLOOKUP(B41,[1]Лист1!$B:$C,2,0)</f>
        <v>4603014038685</v>
      </c>
      <c r="D41" s="23" t="s">
        <v>217</v>
      </c>
      <c r="E41" s="25">
        <v>14240</v>
      </c>
      <c r="F41" s="25">
        <v>14240</v>
      </c>
      <c r="G41" s="26">
        <v>25</v>
      </c>
      <c r="H41" s="27">
        <f t="shared" si="0"/>
        <v>356000</v>
      </c>
      <c r="I41" s="27">
        <f t="shared" si="1"/>
        <v>356000</v>
      </c>
    </row>
    <row r="42" spans="2:9" x14ac:dyDescent="0.2">
      <c r="B42" s="23" t="s">
        <v>237</v>
      </c>
      <c r="C42" s="24">
        <f>VLOOKUP(B42,[1]Лист1!$B:$C,2,0)</f>
        <v>4603014038661</v>
      </c>
      <c r="D42" s="23" t="s">
        <v>218</v>
      </c>
      <c r="E42" s="25">
        <v>14240</v>
      </c>
      <c r="F42" s="25">
        <v>14240</v>
      </c>
      <c r="G42" s="26">
        <v>25</v>
      </c>
      <c r="H42" s="27">
        <f t="shared" si="0"/>
        <v>356000</v>
      </c>
      <c r="I42" s="27">
        <f t="shared" si="1"/>
        <v>356000</v>
      </c>
    </row>
    <row r="43" spans="2:9" x14ac:dyDescent="0.2">
      <c r="B43" s="23" t="s">
        <v>170</v>
      </c>
      <c r="C43" s="24">
        <v>7640245622082</v>
      </c>
      <c r="D43" s="23" t="s">
        <v>171</v>
      </c>
      <c r="E43" s="25">
        <v>47530</v>
      </c>
      <c r="F43" s="25">
        <v>35647.5</v>
      </c>
      <c r="G43" s="26">
        <v>12</v>
      </c>
      <c r="H43" s="27">
        <f t="shared" si="0"/>
        <v>570360</v>
      </c>
      <c r="I43" s="27">
        <f t="shared" si="1"/>
        <v>427770</v>
      </c>
    </row>
    <row r="44" spans="2:9" x14ac:dyDescent="0.2">
      <c r="B44" s="23" t="s">
        <v>172</v>
      </c>
      <c r="C44" s="24">
        <v>7640245622075</v>
      </c>
      <c r="D44" s="23" t="s">
        <v>173</v>
      </c>
      <c r="E44" s="25">
        <v>47530</v>
      </c>
      <c r="F44" s="25">
        <v>35647.5</v>
      </c>
      <c r="G44" s="26">
        <v>12</v>
      </c>
      <c r="H44" s="27">
        <f t="shared" si="0"/>
        <v>570360</v>
      </c>
      <c r="I44" s="27">
        <f t="shared" si="1"/>
        <v>427770</v>
      </c>
    </row>
    <row r="45" spans="2:9" x14ac:dyDescent="0.2">
      <c r="B45" s="23" t="s">
        <v>176</v>
      </c>
      <c r="C45" s="24">
        <v>7640245620873</v>
      </c>
      <c r="D45" s="23" t="s">
        <v>177</v>
      </c>
      <c r="E45" s="25">
        <v>47530</v>
      </c>
      <c r="F45" s="25">
        <v>35647.5</v>
      </c>
      <c r="G45" s="26">
        <v>12</v>
      </c>
      <c r="H45" s="27">
        <f t="shared" si="0"/>
        <v>570360</v>
      </c>
      <c r="I45" s="27">
        <f t="shared" si="1"/>
        <v>427770</v>
      </c>
    </row>
    <row r="46" spans="2:9" x14ac:dyDescent="0.2">
      <c r="B46" s="23" t="s">
        <v>178</v>
      </c>
      <c r="C46" s="24">
        <v>7640168939816</v>
      </c>
      <c r="D46" s="23" t="s">
        <v>179</v>
      </c>
      <c r="E46" s="25">
        <v>19430</v>
      </c>
      <c r="F46" s="25">
        <v>13601</v>
      </c>
      <c r="G46" s="26">
        <v>40</v>
      </c>
      <c r="H46" s="27">
        <f t="shared" si="0"/>
        <v>777200</v>
      </c>
      <c r="I46" s="27">
        <f t="shared" si="1"/>
        <v>544040</v>
      </c>
    </row>
    <row r="47" spans="2:9" x14ac:dyDescent="0.2">
      <c r="B47" s="23" t="s">
        <v>38</v>
      </c>
      <c r="C47" s="24">
        <v>4603014004918</v>
      </c>
      <c r="D47" s="23" t="s">
        <v>39</v>
      </c>
      <c r="E47" s="25">
        <v>20360</v>
      </c>
      <c r="F47" s="25">
        <v>13641.2</v>
      </c>
      <c r="G47" s="26">
        <v>40</v>
      </c>
      <c r="H47" s="27">
        <f t="shared" si="0"/>
        <v>814400</v>
      </c>
      <c r="I47" s="27">
        <f t="shared" si="1"/>
        <v>545648</v>
      </c>
    </row>
    <row r="48" spans="2:9" x14ac:dyDescent="0.2">
      <c r="B48" s="23" t="s">
        <v>40</v>
      </c>
      <c r="C48" s="24">
        <v>4603014004925</v>
      </c>
      <c r="D48" s="23" t="s">
        <v>41</v>
      </c>
      <c r="E48" s="25">
        <v>20360</v>
      </c>
      <c r="F48" s="25">
        <v>13641.2</v>
      </c>
      <c r="G48" s="26">
        <v>40</v>
      </c>
      <c r="H48" s="27">
        <f t="shared" si="0"/>
        <v>814400</v>
      </c>
      <c r="I48" s="27">
        <f t="shared" si="1"/>
        <v>545648</v>
      </c>
    </row>
    <row r="49" spans="2:9" x14ac:dyDescent="0.2">
      <c r="B49" s="23" t="s">
        <v>180</v>
      </c>
      <c r="C49" s="24">
        <v>7640168930004</v>
      </c>
      <c r="D49" s="23" t="s">
        <v>181</v>
      </c>
      <c r="E49" s="25">
        <v>19430</v>
      </c>
      <c r="F49" s="25">
        <v>13601</v>
      </c>
      <c r="G49" s="26">
        <v>40</v>
      </c>
      <c r="H49" s="27">
        <f t="shared" si="0"/>
        <v>777200</v>
      </c>
      <c r="I49" s="27">
        <f t="shared" si="1"/>
        <v>544040</v>
      </c>
    </row>
    <row r="50" spans="2:9" x14ac:dyDescent="0.2">
      <c r="B50" s="23" t="s">
        <v>42</v>
      </c>
      <c r="C50" s="24">
        <v>4603014004949</v>
      </c>
      <c r="D50" s="23" t="s">
        <v>43</v>
      </c>
      <c r="E50" s="25">
        <v>20360</v>
      </c>
      <c r="F50" s="25">
        <v>13641.2</v>
      </c>
      <c r="G50" s="26">
        <v>40</v>
      </c>
      <c r="H50" s="27">
        <f t="shared" si="0"/>
        <v>814400</v>
      </c>
      <c r="I50" s="27">
        <f t="shared" si="1"/>
        <v>545648</v>
      </c>
    </row>
    <row r="51" spans="2:9" x14ac:dyDescent="0.2">
      <c r="B51" s="23" t="s">
        <v>182</v>
      </c>
      <c r="C51" s="24">
        <v>7640245620132</v>
      </c>
      <c r="D51" s="23" t="s">
        <v>183</v>
      </c>
      <c r="E51" s="25">
        <v>19430</v>
      </c>
      <c r="F51" s="25">
        <v>13601</v>
      </c>
      <c r="G51" s="26">
        <v>40</v>
      </c>
      <c r="H51" s="27">
        <f t="shared" si="0"/>
        <v>777200</v>
      </c>
      <c r="I51" s="27">
        <f t="shared" si="1"/>
        <v>544040</v>
      </c>
    </row>
    <row r="52" spans="2:9" x14ac:dyDescent="0.2">
      <c r="B52" s="23" t="s">
        <v>44</v>
      </c>
      <c r="C52" s="24">
        <v>7640168935078</v>
      </c>
      <c r="D52" s="23" t="s">
        <v>45</v>
      </c>
      <c r="E52" s="25">
        <v>28690</v>
      </c>
      <c r="F52" s="25">
        <v>21517.5</v>
      </c>
      <c r="G52" s="26">
        <v>24</v>
      </c>
      <c r="H52" s="27">
        <f t="shared" si="0"/>
        <v>688560</v>
      </c>
      <c r="I52" s="27">
        <f t="shared" si="1"/>
        <v>516420</v>
      </c>
    </row>
    <row r="53" spans="2:9" x14ac:dyDescent="0.2">
      <c r="B53" s="23" t="s">
        <v>186</v>
      </c>
      <c r="C53" s="24">
        <v>7640245620231</v>
      </c>
      <c r="D53" s="23" t="s">
        <v>187</v>
      </c>
      <c r="E53" s="25">
        <v>36350</v>
      </c>
      <c r="F53" s="25">
        <v>29080</v>
      </c>
      <c r="G53" s="26">
        <v>24</v>
      </c>
      <c r="H53" s="27">
        <f t="shared" si="0"/>
        <v>872400</v>
      </c>
      <c r="I53" s="27">
        <f t="shared" si="1"/>
        <v>697920</v>
      </c>
    </row>
    <row r="54" spans="2:9" x14ac:dyDescent="0.2">
      <c r="B54" s="23" t="s">
        <v>46</v>
      </c>
      <c r="C54" s="24">
        <v>7640168934811</v>
      </c>
      <c r="D54" s="23" t="s">
        <v>47</v>
      </c>
      <c r="E54" s="25">
        <v>28690</v>
      </c>
      <c r="F54" s="25">
        <v>21517.5</v>
      </c>
      <c r="G54" s="26">
        <v>24</v>
      </c>
      <c r="H54" s="27">
        <f t="shared" si="0"/>
        <v>688560</v>
      </c>
      <c r="I54" s="27">
        <f t="shared" si="1"/>
        <v>516420</v>
      </c>
    </row>
    <row r="55" spans="2:9" x14ac:dyDescent="0.2">
      <c r="B55" s="23" t="s">
        <v>238</v>
      </c>
      <c r="C55" s="24">
        <f>VLOOKUP(B55,[1]Лист1!$B:$C,2,0)</f>
        <v>4603014007711</v>
      </c>
      <c r="D55" s="23" t="s">
        <v>219</v>
      </c>
      <c r="E55" s="25">
        <v>38460</v>
      </c>
      <c r="F55" s="25">
        <v>38460</v>
      </c>
      <c r="G55" s="26">
        <v>18</v>
      </c>
      <c r="H55" s="27">
        <f t="shared" si="0"/>
        <v>692280</v>
      </c>
      <c r="I55" s="27">
        <f t="shared" si="1"/>
        <v>692280</v>
      </c>
    </row>
    <row r="56" spans="2:9" x14ac:dyDescent="0.2">
      <c r="B56" s="23" t="s">
        <v>50</v>
      </c>
      <c r="C56" s="24">
        <v>4603014007735</v>
      </c>
      <c r="D56" s="23" t="s">
        <v>51</v>
      </c>
      <c r="E56" s="25">
        <v>38460</v>
      </c>
      <c r="F56" s="25">
        <v>32691</v>
      </c>
      <c r="G56" s="26">
        <v>20</v>
      </c>
      <c r="H56" s="27">
        <f t="shared" si="0"/>
        <v>769200</v>
      </c>
      <c r="I56" s="27">
        <f t="shared" si="1"/>
        <v>653820</v>
      </c>
    </row>
    <row r="57" spans="2:9" x14ac:dyDescent="0.2">
      <c r="B57" s="23" t="s">
        <v>52</v>
      </c>
      <c r="C57" s="24">
        <v>7640168931605</v>
      </c>
      <c r="D57" s="23" t="s">
        <v>53</v>
      </c>
      <c r="E57" s="25">
        <v>33110</v>
      </c>
      <c r="F57" s="25">
        <v>33110</v>
      </c>
      <c r="G57" s="26">
        <v>12</v>
      </c>
      <c r="H57" s="27">
        <f t="shared" si="0"/>
        <v>397320</v>
      </c>
      <c r="I57" s="27">
        <f t="shared" si="1"/>
        <v>397320</v>
      </c>
    </row>
    <row r="58" spans="2:9" x14ac:dyDescent="0.2">
      <c r="B58" s="23" t="s">
        <v>239</v>
      </c>
      <c r="C58" s="24">
        <f>VLOOKUP(B58,[1]Лист1!$B:$C,2,0)</f>
        <v>4603014006318</v>
      </c>
      <c r="D58" s="23" t="s">
        <v>220</v>
      </c>
      <c r="E58" s="25">
        <v>34050</v>
      </c>
      <c r="F58" s="25">
        <v>34050</v>
      </c>
      <c r="G58" s="26">
        <v>18</v>
      </c>
      <c r="H58" s="27">
        <f t="shared" si="0"/>
        <v>612900</v>
      </c>
      <c r="I58" s="27">
        <f t="shared" si="1"/>
        <v>612900</v>
      </c>
    </row>
    <row r="59" spans="2:9" x14ac:dyDescent="0.2">
      <c r="B59" s="23" t="s">
        <v>188</v>
      </c>
      <c r="C59" s="24">
        <v>7640245621412</v>
      </c>
      <c r="D59" s="23" t="s">
        <v>189</v>
      </c>
      <c r="E59" s="25">
        <v>31690</v>
      </c>
      <c r="F59" s="25">
        <v>31690</v>
      </c>
      <c r="G59" s="26">
        <v>24</v>
      </c>
      <c r="H59" s="27">
        <f t="shared" si="0"/>
        <v>760560</v>
      </c>
      <c r="I59" s="27">
        <f t="shared" si="1"/>
        <v>760560</v>
      </c>
    </row>
    <row r="60" spans="2:9" x14ac:dyDescent="0.2">
      <c r="B60" s="23" t="s">
        <v>60</v>
      </c>
      <c r="C60" s="24">
        <v>4603014001795</v>
      </c>
      <c r="D60" s="23" t="s">
        <v>61</v>
      </c>
      <c r="E60" s="25">
        <v>55430</v>
      </c>
      <c r="F60" s="25">
        <v>55430</v>
      </c>
      <c r="G60" s="26">
        <v>12</v>
      </c>
      <c r="H60" s="27">
        <f t="shared" si="0"/>
        <v>665160</v>
      </c>
      <c r="I60" s="27">
        <f t="shared" si="1"/>
        <v>665160</v>
      </c>
    </row>
    <row r="61" spans="2:9" x14ac:dyDescent="0.2">
      <c r="B61" s="23" t="s">
        <v>62</v>
      </c>
      <c r="C61" s="24">
        <v>4603014001757</v>
      </c>
      <c r="D61" s="23" t="s">
        <v>63</v>
      </c>
      <c r="E61" s="25">
        <v>55430</v>
      </c>
      <c r="F61" s="25">
        <v>55430</v>
      </c>
      <c r="G61" s="26">
        <v>12</v>
      </c>
      <c r="H61" s="27">
        <f t="shared" si="0"/>
        <v>665160</v>
      </c>
      <c r="I61" s="27">
        <f t="shared" si="1"/>
        <v>665160</v>
      </c>
    </row>
    <row r="62" spans="2:9" x14ac:dyDescent="0.2">
      <c r="B62" s="23" t="s">
        <v>240</v>
      </c>
      <c r="C62" s="24">
        <f>VLOOKUP(B62,[1]Лист1!$B:$C,2,0)</f>
        <v>4603014036421</v>
      </c>
      <c r="D62" s="23" t="s">
        <v>221</v>
      </c>
      <c r="E62" s="25">
        <v>39840</v>
      </c>
      <c r="F62" s="25">
        <v>39840</v>
      </c>
      <c r="G62" s="26">
        <v>50</v>
      </c>
      <c r="H62" s="27">
        <f t="shared" si="0"/>
        <v>1992000</v>
      </c>
      <c r="I62" s="27">
        <f t="shared" si="1"/>
        <v>1992000</v>
      </c>
    </row>
    <row r="63" spans="2:9" x14ac:dyDescent="0.2">
      <c r="B63" s="23" t="s">
        <v>64</v>
      </c>
      <c r="C63" s="24">
        <v>4603014022226</v>
      </c>
      <c r="D63" s="23" t="s">
        <v>65</v>
      </c>
      <c r="E63" s="25">
        <v>28290</v>
      </c>
      <c r="F63" s="25">
        <v>21783.3</v>
      </c>
      <c r="G63" s="26">
        <v>100</v>
      </c>
      <c r="H63" s="27">
        <f t="shared" si="0"/>
        <v>2829000</v>
      </c>
      <c r="I63" s="27">
        <f t="shared" si="1"/>
        <v>2178330</v>
      </c>
    </row>
    <row r="64" spans="2:9" x14ac:dyDescent="0.2">
      <c r="B64" s="23" t="s">
        <v>190</v>
      </c>
      <c r="C64" s="24">
        <v>4603014004789</v>
      </c>
      <c r="D64" s="23" t="s">
        <v>191</v>
      </c>
      <c r="E64" s="25">
        <v>14780</v>
      </c>
      <c r="F64" s="25">
        <v>14780</v>
      </c>
      <c r="G64" s="26">
        <v>20</v>
      </c>
      <c r="H64" s="27">
        <f t="shared" si="0"/>
        <v>295600</v>
      </c>
      <c r="I64" s="27">
        <f t="shared" si="1"/>
        <v>295600</v>
      </c>
    </row>
    <row r="65" spans="2:9" x14ac:dyDescent="0.2">
      <c r="B65" s="23" t="s">
        <v>66</v>
      </c>
      <c r="C65" s="24">
        <v>4603014025906</v>
      </c>
      <c r="D65" s="23" t="s">
        <v>67</v>
      </c>
      <c r="E65" s="25">
        <v>28290</v>
      </c>
      <c r="F65" s="25">
        <v>21783.3</v>
      </c>
      <c r="G65" s="26">
        <v>50</v>
      </c>
      <c r="H65" s="27">
        <f t="shared" si="0"/>
        <v>1414500</v>
      </c>
      <c r="I65" s="27">
        <f t="shared" si="1"/>
        <v>1089165</v>
      </c>
    </row>
    <row r="66" spans="2:9" x14ac:dyDescent="0.2">
      <c r="B66" s="23" t="s">
        <v>241</v>
      </c>
      <c r="C66" s="24">
        <v>4603014025920</v>
      </c>
      <c r="D66" s="23" t="s">
        <v>222</v>
      </c>
      <c r="E66" s="25">
        <v>28290</v>
      </c>
      <c r="F66" s="25">
        <v>21783.3</v>
      </c>
      <c r="G66" s="26">
        <v>50</v>
      </c>
      <c r="H66" s="27">
        <f t="shared" si="0"/>
        <v>1414500</v>
      </c>
      <c r="I66" s="27">
        <f t="shared" si="1"/>
        <v>1089165</v>
      </c>
    </row>
    <row r="67" spans="2:9" x14ac:dyDescent="0.2">
      <c r="B67" s="23" t="s">
        <v>242</v>
      </c>
      <c r="C67" s="24">
        <f>VLOOKUP(B67,[1]Лист1!$B:$C,2,0)</f>
        <v>4603014040640</v>
      </c>
      <c r="D67" s="23" t="s">
        <v>223</v>
      </c>
      <c r="E67" s="25">
        <v>28290</v>
      </c>
      <c r="F67" s="25">
        <v>21783.3</v>
      </c>
      <c r="G67" s="26">
        <v>75</v>
      </c>
      <c r="H67" s="27">
        <f t="shared" si="0"/>
        <v>2121750</v>
      </c>
      <c r="I67" s="27">
        <f t="shared" si="1"/>
        <v>1633747.5</v>
      </c>
    </row>
    <row r="68" spans="2:9" x14ac:dyDescent="0.2">
      <c r="B68" s="23" t="s">
        <v>68</v>
      </c>
      <c r="C68" s="24">
        <v>4603014025883</v>
      </c>
      <c r="D68" s="23" t="s">
        <v>69</v>
      </c>
      <c r="E68" s="25">
        <v>28290</v>
      </c>
      <c r="F68" s="25">
        <v>21783.3</v>
      </c>
      <c r="G68" s="26">
        <v>50</v>
      </c>
      <c r="H68" s="27">
        <f t="shared" ref="H68:H92" si="2">E68*G68</f>
        <v>1414500</v>
      </c>
      <c r="I68" s="27">
        <f t="shared" ref="I68:I92" si="3">F68*G68</f>
        <v>1089165</v>
      </c>
    </row>
    <row r="69" spans="2:9" x14ac:dyDescent="0.2">
      <c r="B69" s="23" t="s">
        <v>243</v>
      </c>
      <c r="C69" s="24">
        <f>VLOOKUP(B69,[1]Лист1!$B:$C,2,0)</f>
        <v>4603014036544</v>
      </c>
      <c r="D69" s="23" t="s">
        <v>224</v>
      </c>
      <c r="E69" s="25">
        <v>39840</v>
      </c>
      <c r="F69" s="25">
        <v>39840</v>
      </c>
      <c r="G69" s="26">
        <v>50</v>
      </c>
      <c r="H69" s="27">
        <f t="shared" si="2"/>
        <v>1992000</v>
      </c>
      <c r="I69" s="27">
        <f t="shared" si="3"/>
        <v>1992000</v>
      </c>
    </row>
    <row r="70" spans="2:9" x14ac:dyDescent="0.2">
      <c r="B70" s="23" t="s">
        <v>70</v>
      </c>
      <c r="C70" s="24">
        <v>4603014022240</v>
      </c>
      <c r="D70" s="23" t="s">
        <v>71</v>
      </c>
      <c r="E70" s="25">
        <v>28290</v>
      </c>
      <c r="F70" s="25">
        <v>21783.3</v>
      </c>
      <c r="G70" s="26">
        <v>100</v>
      </c>
      <c r="H70" s="27">
        <f t="shared" si="2"/>
        <v>2829000</v>
      </c>
      <c r="I70" s="27">
        <f t="shared" si="3"/>
        <v>2178330</v>
      </c>
    </row>
    <row r="71" spans="2:9" x14ac:dyDescent="0.2">
      <c r="B71" s="23" t="s">
        <v>192</v>
      </c>
      <c r="C71" s="24">
        <v>4603014004741</v>
      </c>
      <c r="D71" s="23" t="s">
        <v>193</v>
      </c>
      <c r="E71" s="25">
        <v>14780</v>
      </c>
      <c r="F71" s="25">
        <v>14780</v>
      </c>
      <c r="G71" s="26">
        <v>20</v>
      </c>
      <c r="H71" s="27">
        <f t="shared" si="2"/>
        <v>295600</v>
      </c>
      <c r="I71" s="27">
        <f t="shared" si="3"/>
        <v>295600</v>
      </c>
    </row>
    <row r="72" spans="2:9" x14ac:dyDescent="0.2">
      <c r="B72" s="23" t="s">
        <v>72</v>
      </c>
      <c r="C72" s="24">
        <v>4603014023704</v>
      </c>
      <c r="D72" s="23" t="s">
        <v>73</v>
      </c>
      <c r="E72" s="25">
        <v>28290</v>
      </c>
      <c r="F72" s="25">
        <v>21783.3</v>
      </c>
      <c r="G72" s="26">
        <v>150</v>
      </c>
      <c r="H72" s="27">
        <f t="shared" si="2"/>
        <v>4243500</v>
      </c>
      <c r="I72" s="27">
        <f t="shared" si="3"/>
        <v>3267495</v>
      </c>
    </row>
    <row r="73" spans="2:9" x14ac:dyDescent="0.2">
      <c r="B73" s="23" t="s">
        <v>194</v>
      </c>
      <c r="C73" s="24">
        <v>4603014004802</v>
      </c>
      <c r="D73" s="23" t="s">
        <v>195</v>
      </c>
      <c r="E73" s="25">
        <v>14780</v>
      </c>
      <c r="F73" s="25">
        <v>14780</v>
      </c>
      <c r="G73" s="26">
        <v>20</v>
      </c>
      <c r="H73" s="27">
        <f t="shared" si="2"/>
        <v>295600</v>
      </c>
      <c r="I73" s="27">
        <f t="shared" si="3"/>
        <v>295600</v>
      </c>
    </row>
    <row r="74" spans="2:9" x14ac:dyDescent="0.2">
      <c r="B74" s="23" t="s">
        <v>244</v>
      </c>
      <c r="C74" s="24">
        <f>VLOOKUP(B74,[1]Лист1!$B:$C,2,0)</f>
        <v>4603014036520</v>
      </c>
      <c r="D74" s="23" t="s">
        <v>225</v>
      </c>
      <c r="E74" s="25">
        <v>39840</v>
      </c>
      <c r="F74" s="25">
        <v>39840</v>
      </c>
      <c r="G74" s="26">
        <v>50</v>
      </c>
      <c r="H74" s="27">
        <f t="shared" si="2"/>
        <v>1992000</v>
      </c>
      <c r="I74" s="27">
        <f t="shared" si="3"/>
        <v>1992000</v>
      </c>
    </row>
    <row r="75" spans="2:9" x14ac:dyDescent="0.2">
      <c r="B75" s="23" t="s">
        <v>245</v>
      </c>
      <c r="C75" s="24">
        <v>4603014017314</v>
      </c>
      <c r="D75" s="23" t="s">
        <v>226</v>
      </c>
      <c r="E75" s="25">
        <v>28290</v>
      </c>
      <c r="F75" s="25">
        <v>21783.3</v>
      </c>
      <c r="G75" s="26">
        <v>75</v>
      </c>
      <c r="H75" s="27">
        <f t="shared" si="2"/>
        <v>2121750</v>
      </c>
      <c r="I75" s="27">
        <f t="shared" si="3"/>
        <v>1633747.5</v>
      </c>
    </row>
    <row r="76" spans="2:9" x14ac:dyDescent="0.2">
      <c r="B76" s="23" t="s">
        <v>196</v>
      </c>
      <c r="C76" s="24">
        <v>4603014013422</v>
      </c>
      <c r="D76" s="23" t="s">
        <v>197</v>
      </c>
      <c r="E76" s="25">
        <v>51210</v>
      </c>
      <c r="F76" s="25">
        <v>41992.2</v>
      </c>
      <c r="G76" s="26">
        <v>24</v>
      </c>
      <c r="H76" s="27">
        <f t="shared" si="2"/>
        <v>1229040</v>
      </c>
      <c r="I76" s="27">
        <f t="shared" si="3"/>
        <v>1007812.7999999999</v>
      </c>
    </row>
    <row r="77" spans="2:9" x14ac:dyDescent="0.2">
      <c r="B77" s="23" t="s">
        <v>74</v>
      </c>
      <c r="C77" s="24">
        <v>4603014013422</v>
      </c>
      <c r="D77" s="23" t="s">
        <v>75</v>
      </c>
      <c r="E77" s="25">
        <v>39930</v>
      </c>
      <c r="F77" s="25">
        <v>29947.5</v>
      </c>
      <c r="G77" s="26">
        <v>24</v>
      </c>
      <c r="H77" s="27">
        <f t="shared" si="2"/>
        <v>958320</v>
      </c>
      <c r="I77" s="27">
        <f t="shared" si="3"/>
        <v>718740</v>
      </c>
    </row>
    <row r="78" spans="2:9" x14ac:dyDescent="0.2">
      <c r="B78" s="23" t="s">
        <v>76</v>
      </c>
      <c r="C78" s="24">
        <v>7640168938550</v>
      </c>
      <c r="D78" s="23" t="s">
        <v>77</v>
      </c>
      <c r="E78" s="25">
        <v>39930</v>
      </c>
      <c r="F78" s="25">
        <v>29947.5</v>
      </c>
      <c r="G78" s="26">
        <v>24</v>
      </c>
      <c r="H78" s="27">
        <f t="shared" si="2"/>
        <v>958320</v>
      </c>
      <c r="I78" s="27">
        <f t="shared" si="3"/>
        <v>718740</v>
      </c>
    </row>
    <row r="79" spans="2:9" x14ac:dyDescent="0.2">
      <c r="B79" s="23" t="s">
        <v>200</v>
      </c>
      <c r="C79" s="24">
        <v>7640245621924</v>
      </c>
      <c r="D79" s="23" t="s">
        <v>201</v>
      </c>
      <c r="E79" s="25">
        <v>21750</v>
      </c>
      <c r="F79" s="25">
        <v>16312.5</v>
      </c>
      <c r="G79" s="26">
        <v>24</v>
      </c>
      <c r="H79" s="27">
        <f t="shared" si="2"/>
        <v>522000</v>
      </c>
      <c r="I79" s="27">
        <f t="shared" si="3"/>
        <v>391500</v>
      </c>
    </row>
    <row r="80" spans="2:9" x14ac:dyDescent="0.2">
      <c r="B80" s="23" t="s">
        <v>78</v>
      </c>
      <c r="C80" s="24">
        <v>7640168937898</v>
      </c>
      <c r="D80" s="23" t="s">
        <v>79</v>
      </c>
      <c r="E80" s="25">
        <v>35120</v>
      </c>
      <c r="F80" s="25">
        <v>26340</v>
      </c>
      <c r="G80" s="26">
        <v>24</v>
      </c>
      <c r="H80" s="27">
        <f t="shared" si="2"/>
        <v>842880</v>
      </c>
      <c r="I80" s="27">
        <f t="shared" si="3"/>
        <v>632160</v>
      </c>
    </row>
    <row r="81" spans="2:9" x14ac:dyDescent="0.2">
      <c r="B81" s="23" t="s">
        <v>202</v>
      </c>
      <c r="C81" s="24">
        <v>4603014011909</v>
      </c>
      <c r="D81" s="23" t="s">
        <v>203</v>
      </c>
      <c r="E81" s="25">
        <v>44610</v>
      </c>
      <c r="F81" s="25">
        <v>36580.199999999997</v>
      </c>
      <c r="G81" s="26">
        <v>12</v>
      </c>
      <c r="H81" s="27">
        <f t="shared" si="2"/>
        <v>535320</v>
      </c>
      <c r="I81" s="27">
        <f t="shared" si="3"/>
        <v>438962.39999999997</v>
      </c>
    </row>
    <row r="82" spans="2:9" x14ac:dyDescent="0.2">
      <c r="B82" s="23" t="s">
        <v>80</v>
      </c>
      <c r="C82" s="24">
        <v>4603014011909</v>
      </c>
      <c r="D82" s="23" t="s">
        <v>81</v>
      </c>
      <c r="E82" s="25">
        <v>35120</v>
      </c>
      <c r="F82" s="25">
        <v>26340</v>
      </c>
      <c r="G82" s="26">
        <v>24</v>
      </c>
      <c r="H82" s="27">
        <f t="shared" si="2"/>
        <v>842880</v>
      </c>
      <c r="I82" s="27">
        <f t="shared" si="3"/>
        <v>632160</v>
      </c>
    </row>
    <row r="83" spans="2:9" x14ac:dyDescent="0.2">
      <c r="B83" s="23" t="s">
        <v>82</v>
      </c>
      <c r="C83" s="24">
        <v>4603014007285</v>
      </c>
      <c r="D83" s="23" t="s">
        <v>83</v>
      </c>
      <c r="E83" s="25">
        <v>35120</v>
      </c>
      <c r="F83" s="25">
        <v>26340</v>
      </c>
      <c r="G83" s="26">
        <v>24</v>
      </c>
      <c r="H83" s="27">
        <f t="shared" si="2"/>
        <v>842880</v>
      </c>
      <c r="I83" s="27">
        <f t="shared" si="3"/>
        <v>632160</v>
      </c>
    </row>
    <row r="84" spans="2:9" x14ac:dyDescent="0.2">
      <c r="B84" s="23" t="s">
        <v>84</v>
      </c>
      <c r="C84" s="24">
        <v>4603014010025</v>
      </c>
      <c r="D84" s="23" t="s">
        <v>85</v>
      </c>
      <c r="E84" s="25">
        <v>35120</v>
      </c>
      <c r="F84" s="25">
        <v>26340</v>
      </c>
      <c r="G84" s="26">
        <v>24</v>
      </c>
      <c r="H84" s="27">
        <f t="shared" si="2"/>
        <v>842880</v>
      </c>
      <c r="I84" s="27">
        <f t="shared" si="3"/>
        <v>632160</v>
      </c>
    </row>
    <row r="85" spans="2:9" x14ac:dyDescent="0.2">
      <c r="B85" s="23" t="s">
        <v>86</v>
      </c>
      <c r="C85" s="24">
        <v>4603014010032</v>
      </c>
      <c r="D85" s="23" t="s">
        <v>87</v>
      </c>
      <c r="E85" s="25">
        <v>35120</v>
      </c>
      <c r="F85" s="25">
        <v>26340</v>
      </c>
      <c r="G85" s="26">
        <v>24</v>
      </c>
      <c r="H85" s="27">
        <f t="shared" si="2"/>
        <v>842880</v>
      </c>
      <c r="I85" s="27">
        <f t="shared" si="3"/>
        <v>632160</v>
      </c>
    </row>
    <row r="86" spans="2:9" x14ac:dyDescent="0.2">
      <c r="B86" s="23" t="s">
        <v>88</v>
      </c>
      <c r="C86" s="24">
        <v>4603014007308</v>
      </c>
      <c r="D86" s="23" t="s">
        <v>89</v>
      </c>
      <c r="E86" s="25">
        <v>35120</v>
      </c>
      <c r="F86" s="25">
        <v>26340</v>
      </c>
      <c r="G86" s="26">
        <v>24</v>
      </c>
      <c r="H86" s="27">
        <f t="shared" si="2"/>
        <v>842880</v>
      </c>
      <c r="I86" s="27">
        <f t="shared" si="3"/>
        <v>632160</v>
      </c>
    </row>
    <row r="87" spans="2:9" x14ac:dyDescent="0.2">
      <c r="B87" s="23" t="s">
        <v>90</v>
      </c>
      <c r="C87" s="24">
        <v>4603014007315</v>
      </c>
      <c r="D87" s="23" t="s">
        <v>91</v>
      </c>
      <c r="E87" s="25">
        <v>35120</v>
      </c>
      <c r="F87" s="25">
        <v>26340</v>
      </c>
      <c r="G87" s="26">
        <v>24</v>
      </c>
      <c r="H87" s="27">
        <f t="shared" si="2"/>
        <v>842880</v>
      </c>
      <c r="I87" s="27">
        <f t="shared" si="3"/>
        <v>632160</v>
      </c>
    </row>
    <row r="88" spans="2:9" x14ac:dyDescent="0.2">
      <c r="B88" s="23" t="s">
        <v>246</v>
      </c>
      <c r="C88" s="24">
        <v>7640245621290</v>
      </c>
      <c r="D88" s="23" t="s">
        <v>227</v>
      </c>
      <c r="E88" s="25">
        <v>36270</v>
      </c>
      <c r="F88" s="25">
        <v>36270</v>
      </c>
      <c r="G88" s="26">
        <v>10</v>
      </c>
      <c r="H88" s="27">
        <f t="shared" si="2"/>
        <v>362700</v>
      </c>
      <c r="I88" s="27">
        <f t="shared" si="3"/>
        <v>362700</v>
      </c>
    </row>
    <row r="89" spans="2:9" x14ac:dyDescent="0.2">
      <c r="B89" s="23" t="s">
        <v>247</v>
      </c>
      <c r="C89" s="24">
        <v>7640245621351</v>
      </c>
      <c r="D89" s="23" t="s">
        <v>228</v>
      </c>
      <c r="E89" s="25">
        <v>36270</v>
      </c>
      <c r="F89" s="25">
        <v>36270</v>
      </c>
      <c r="G89" s="26">
        <v>10</v>
      </c>
      <c r="H89" s="27">
        <f t="shared" si="2"/>
        <v>362700</v>
      </c>
      <c r="I89" s="27">
        <f t="shared" si="3"/>
        <v>362700</v>
      </c>
    </row>
    <row r="90" spans="2:9" x14ac:dyDescent="0.2">
      <c r="B90" s="23" t="s">
        <v>92</v>
      </c>
      <c r="C90" s="24">
        <v>4603014001856</v>
      </c>
      <c r="D90" s="23" t="s">
        <v>93</v>
      </c>
      <c r="E90" s="25">
        <v>58200</v>
      </c>
      <c r="F90" s="25">
        <v>58200</v>
      </c>
      <c r="G90" s="26">
        <v>20</v>
      </c>
      <c r="H90" s="27">
        <f t="shared" si="2"/>
        <v>1164000</v>
      </c>
      <c r="I90" s="27">
        <f t="shared" si="3"/>
        <v>1164000</v>
      </c>
    </row>
    <row r="91" spans="2:9" x14ac:dyDescent="0.2">
      <c r="B91" s="23" t="s">
        <v>248</v>
      </c>
      <c r="C91" s="24">
        <f>VLOOKUP(B91,[1]Лист1!$B:$C,2,0)</f>
        <v>603014041203</v>
      </c>
      <c r="D91" s="23" t="s">
        <v>229</v>
      </c>
      <c r="E91" s="25">
        <v>50610</v>
      </c>
      <c r="F91" s="25">
        <v>50610</v>
      </c>
      <c r="G91" s="26">
        <v>20</v>
      </c>
      <c r="H91" s="27">
        <f t="shared" si="2"/>
        <v>1012200</v>
      </c>
      <c r="I91" s="27">
        <f t="shared" si="3"/>
        <v>1012200</v>
      </c>
    </row>
    <row r="92" spans="2:9" x14ac:dyDescent="0.2">
      <c r="B92" s="23" t="s">
        <v>249</v>
      </c>
      <c r="C92" s="24">
        <f>VLOOKUP(B92,[1]Лист1!$B:$C,2,0)</f>
        <v>603014041210</v>
      </c>
      <c r="D92" s="23" t="s">
        <v>230</v>
      </c>
      <c r="E92" s="25">
        <v>50610</v>
      </c>
      <c r="F92" s="25">
        <v>50610</v>
      </c>
      <c r="G92" s="26">
        <v>20</v>
      </c>
      <c r="H92" s="27">
        <f t="shared" si="2"/>
        <v>1012200</v>
      </c>
      <c r="I92" s="27">
        <f t="shared" si="3"/>
        <v>1012200</v>
      </c>
    </row>
    <row r="93" spans="2:9" x14ac:dyDescent="0.2">
      <c r="E93" s="28" t="s">
        <v>206</v>
      </c>
      <c r="F93" s="23"/>
      <c r="G93" s="29">
        <f>SUM(G3:G92)</f>
        <v>2412</v>
      </c>
      <c r="H93" s="27">
        <f>SUM(H3:H92)</f>
        <v>75767490</v>
      </c>
      <c r="I93" s="27">
        <f>SUM(I3:I92)</f>
        <v>62960896.399999999</v>
      </c>
    </row>
  </sheetData>
  <autoFilter ref="B2:I93" xr:uid="{842190A1-258E-4033-A068-989C77D0A42D}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Jakhongir Obidov</cp:lastModifiedBy>
  <dcterms:created xsi:type="dcterms:W3CDTF">2015-06-05T18:19:34Z</dcterms:created>
  <dcterms:modified xsi:type="dcterms:W3CDTF">2026-08-28T07:13:12Z</dcterms:modified>
</cp:coreProperties>
</file>
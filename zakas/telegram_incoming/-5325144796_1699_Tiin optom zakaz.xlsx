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8800" windowHeight="11580"/>
  </bookViews>
  <sheets>
    <sheet name="Лист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<sst xmlns="http://schemas.openxmlformats.org/spreadsheetml/2006/main" count="39" uniqueCount="39">
  <si>
    <t>№</t>
  </si>
  <si>
    <t>Продукция</t>
  </si>
  <si>
    <t>Штрих - коды товара</t>
  </si>
  <si>
    <t>Кол-во</t>
  </si>
  <si>
    <t>Цена</t>
  </si>
  <si>
    <t>Сумма (сум)</t>
  </si>
  <si>
    <t>Бумажные полотенца Bulut, 2-х слойная 2 рул</t>
  </si>
  <si>
    <t>4780108480206</t>
  </si>
  <si>
    <t>Бумажные полотенца Bulut BIG, 3-х слойная 1шт</t>
  </si>
  <si>
    <t>4780108480213</t>
  </si>
  <si>
    <t>Салфетки для диспенсера Z Bulut, 200 шт</t>
  </si>
  <si>
    <t>4780108480190</t>
  </si>
  <si>
    <t>Салфетки Bulut 23х23, 100*40шт</t>
  </si>
  <si>
    <t>4780108480084</t>
  </si>
  <si>
    <t>Салфетки Bulut 27х27, 100*40шт</t>
  </si>
  <si>
    <t>4780108480398</t>
  </si>
  <si>
    <t>Салфетки для диспенсера L Bulut,100шт</t>
  </si>
  <si>
    <t>4780108480145</t>
  </si>
  <si>
    <t>Туалетная бумага Bulut Aroma Yellow, 2-х слойная 8 рул</t>
  </si>
  <si>
    <t>4780108480305</t>
  </si>
  <si>
    <t>Туалетная бумага Bulut, 2- х слойная 8 рул</t>
  </si>
  <si>
    <t>4780108480275</t>
  </si>
  <si>
    <t>Туалетная бумага Bulut, 2- х слойная 6 рул</t>
  </si>
  <si>
    <t>4780108480268</t>
  </si>
  <si>
    <t>М Туалетная бумага Paper-втулки Bulut, 2- х слойная 6 рул*10шт</t>
  </si>
  <si>
    <t>4780108480497</t>
  </si>
  <si>
    <t>Влажные салфетки Bulut 120 шт Extra Pack</t>
  </si>
  <si>
    <t>4780108480534</t>
  </si>
  <si>
    <r>
      <t>Влажная салфетка Bulut Premium 120шт</t>
    </r>
    <r>
      <rPr>
        <sz val="11"/>
        <color rgb="FF000000"/>
        <rFont val="Calibri"/>
        <charset val="204"/>
      </rPr>
      <t xml:space="preserve"> </t>
    </r>
  </si>
  <si>
    <t>4780108480527</t>
  </si>
  <si>
    <r>
      <t>Влажная салфетка Bulut Baby Lux 120шт</t>
    </r>
    <r>
      <rPr>
        <sz val="11"/>
        <color rgb="FF000000"/>
        <rFont val="Calibri"/>
        <charset val="204"/>
      </rPr>
      <t xml:space="preserve"> </t>
    </r>
  </si>
  <si>
    <t>4780108480541</t>
  </si>
  <si>
    <t>Влажная салфетка Сакура Гули 120шт</t>
  </si>
  <si>
    <t>4780108480602</t>
  </si>
  <si>
    <t>Коробочная салфетка Bulut Premium молочный, 100шт</t>
  </si>
  <si>
    <t>4780108480435</t>
  </si>
  <si>
    <t>Коробочная салфетка Bulut Avto, 60шт</t>
  </si>
  <si>
    <t>4780108480428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</si>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</sst>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176" formatCode="_ * #,##0_ ;_ * \-#,##0_ ;_ * &quot;-&quot;_ ;_ @_ "/>
    <numFmt numFmtId="177" formatCode="_(* #,##0_);_(* \(#,##0\);_(* &quot;-&quot;??_);_(@_)"/>
  </numFmts>
  <fonts count="22">
    <font>
      <sz val="11"/>
      <color theme="1"/>
      <name val="Aptos Narrow"/>
      <charset val="134"/>
      <scheme val="minor"/>
    </font>
    <font>
      <b/>
      <sz val="11"/>
      <color theme="1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  <font>
      <sz val="11"/>
      <color rgb="FF000000"/>
      <name val="Calibri"/>
      <charset val="204"/>
    </font>
  </fonts>
  <fills count="34">
    <fill>
      <patternFill patternType="none"/>
    </fill>
    <fill>
      <patternFill patternType="gray125"/>
    </fill>
    <fill>
      <patternFill patternType="solid">
        <fgColor rgb="FFD4D4D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/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4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5" applyNumberFormat="0" applyFill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7" applyNumberFormat="0" applyAlignment="0" applyProtection="0">
      <alignment vertical="center"/>
    </xf>
    <xf numFmtId="0" fontId="11" fillId="5" borderId="8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6" borderId="9" applyNumberFormat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15">
    <xf numFmtId="0" fontId="0" fillId="0" borderId="0" xfId="0"/>
    <xf numFmtId="0" fontId="0" fillId="2" borderId="1" xfId="0" applyFill="1" applyBorder="1" applyAlignment="1">
      <alignment horizontal="center"/>
    </xf>
    <xf numFmtId="0" fontId="0" fillId="2" borderId="1" xfId="0" applyFill="1" applyBorder="1"/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177" fontId="0" fillId="0" borderId="1" xfId="1" applyNumberFormat="1" applyFont="1" applyBorder="1"/>
    <xf numFmtId="0" fontId="0" fillId="0" borderId="1" xfId="0" applyBorder="1"/>
    <xf numFmtId="0" fontId="0" fillId="0" borderId="2" xfId="0" applyBorder="1" applyAlignment="1">
      <alignment horizontal="center" vertical="center"/>
    </xf>
    <xf numFmtId="0" fontId="0" fillId="0" borderId="2" xfId="0" applyBorder="1"/>
    <xf numFmtId="177" fontId="0" fillId="0" borderId="2" xfId="1" applyNumberFormat="1" applyFont="1" applyBorder="1"/>
    <xf numFmtId="0" fontId="0" fillId="0" borderId="3" xfId="0" applyBorder="1"/>
    <xf numFmtId="177" fontId="1" fillId="0" borderId="3" xfId="1" applyNumberFormat="1" applyFont="1" applyBorder="1" applyAlignment="1">
      <alignment horizontal="center" vertical="center"/>
    </xf>
    <xf numFmtId="177" fontId="0" fillId="0" borderId="3" xfId="1" applyNumberFormat="1" applyFont="1" applyBorder="1"/>
    <xf numFmtId="177" fontId="1" fillId="0" borderId="3" xfId="1" applyNumberFormat="1" applyFont="1" applyBorder="1"/>
    <xf numFmtId="0" fontId="0" fillId="0" borderId="1" xfId="0" applyBorder="1" quotePrefix="1"/>
    <xf numFmtId="0" fontId="0" fillId="0" borderId="1" xfId="0" applyBorder="1" quotePrefix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F4:K21"/>
  <sheetViews>
    <sheetView tabSelected="1" workbookViewId="0">
      <selection activeCell="G30" sqref="G30"/>
    </sheetView>
  </sheetViews>
  <sheetFormatPr defaultColWidth="9" defaultRowHeight="14.25"/>
  <cols>
    <col min="6" max="6" width="5.425" customWidth="1"/>
    <col min="7" max="7" width="61.25" customWidth="1"/>
    <col min="8" max="8" width="20.1416666666667" customWidth="1"/>
    <col min="9" max="9" width="8" customWidth="1"/>
    <col min="10" max="10" width="11.8583333333333" customWidth="1"/>
    <col min="11" max="11" width="14.425" customWidth="1"/>
  </cols>
  <sheetData>
    <row r="4" spans="6:11">
      <c r="F4" s="1" t="s">
        <v>0</v>
      </c>
      <c r="G4" s="2" t="s">
        <v>1</v>
      </c>
      <c r="H4" s="2" t="s">
        <v>2</v>
      </c>
      <c r="I4" s="2" t="s">
        <v>3</v>
      </c>
      <c r="J4" s="3" t="s">
        <v>4</v>
      </c>
      <c r="K4" s="2" t="s">
        <v>5</v>
      </c>
    </row>
    <row r="5" spans="6:11">
      <c r="F5" s="4">
        <v>1</v>
      </c>
      <c r="G5" s="5" t="s">
        <v>6</v>
      </c>
      <c r="H5" s="5" t="s">
        <v>7</v>
      </c>
      <c r="I5" s="4">
        <v>15</v>
      </c>
      <c r="J5" s="6">
        <f>8000*12</f>
        <v>96000</v>
      </c>
      <c r="K5" s="6">
        <f>I5*J5</f>
        <v>1440000</v>
      </c>
    </row>
    <row r="6" spans="6:11">
      <c r="F6" s="4">
        <f>F5+1</f>
        <v>2</v>
      </c>
      <c r="G6" s="5" t="s">
        <v>8</v>
      </c>
      <c r="H6" s="5" t="s">
        <v>9</v>
      </c>
      <c r="I6" s="4">
        <v>15</v>
      </c>
      <c r="J6" s="6">
        <f>14000*12</f>
        <v>168000</v>
      </c>
      <c r="K6" s="6">
        <f t="shared" ref="K6:K22" si="0">I6*J6</f>
        <v>2520000</v>
      </c>
    </row>
    <row r="7" spans="6:11">
      <c r="F7" s="4">
        <f t="shared" ref="F7:F22" si="1">F6+1</f>
        <v>3</v>
      </c>
      <c r="G7" s="5" t="s">
        <v>10</v>
      </c>
      <c r="H7" s="5" t="s">
        <v>11</v>
      </c>
      <c r="I7" s="4">
        <v>30</v>
      </c>
      <c r="J7" s="6">
        <f>10300*15</f>
        <v>154500</v>
      </c>
      <c r="K7" s="6">
        <f t="shared" si="0"/>
        <v>4635000</v>
      </c>
    </row>
    <row r="8" spans="6:11">
      <c r="F8" s="4">
        <f t="shared" si="1"/>
        <v>4</v>
      </c>
      <c r="G8" s="7" t="s">
        <v>12</v>
      </c>
      <c r="H8" s="5" t="s">
        <v>13</v>
      </c>
      <c r="I8" s="4">
        <v>10</v>
      </c>
      <c r="J8" s="6">
        <f>2900*40</f>
        <v>116000</v>
      </c>
      <c r="K8" s="6">
        <f t="shared" si="0"/>
        <v>1160000</v>
      </c>
    </row>
    <row r="9" spans="6:11">
      <c r="F9" s="4">
        <f t="shared" si="1"/>
        <v>5</v>
      </c>
      <c r="G9" s="7" t="s">
        <v>14</v>
      </c>
      <c r="H9" s="15" t="s">
        <v>15</v>
      </c>
      <c r="I9" s="4">
        <v>10</v>
      </c>
      <c r="J9" s="6">
        <f>4150*40</f>
        <v>166000</v>
      </c>
      <c r="K9" s="6">
        <f t="shared" si="0"/>
        <v>1660000</v>
      </c>
    </row>
    <row r="10" spans="6:11">
      <c r="F10" s="4">
        <f t="shared" si="1"/>
        <v>6</v>
      </c>
      <c r="G10" s="7" t="s">
        <v>16</v>
      </c>
      <c r="H10" s="15" t="s">
        <v>17</v>
      </c>
      <c r="I10" s="4">
        <v>6</v>
      </c>
      <c r="J10" s="6">
        <f>2700*100</f>
        <v>270000</v>
      </c>
      <c r="K10" s="6">
        <f t="shared" si="0"/>
        <v>1620000</v>
      </c>
    </row>
    <row r="11" spans="6:11">
      <c r="F11" s="4">
        <f t="shared" si="1"/>
        <v>7</v>
      </c>
      <c r="G11" s="5" t="s">
        <v>18</v>
      </c>
      <c r="H11" s="5" t="s">
        <v>19</v>
      </c>
      <c r="I11" s="4">
        <v>10</v>
      </c>
      <c r="J11" s="6">
        <f>25400*5</f>
        <v>127000</v>
      </c>
      <c r="K11" s="6">
        <f t="shared" si="0"/>
        <v>1270000</v>
      </c>
    </row>
    <row r="12" spans="6:11">
      <c r="F12" s="4">
        <f t="shared" si="1"/>
        <v>8</v>
      </c>
      <c r="G12" s="5" t="s">
        <v>20</v>
      </c>
      <c r="H12" s="5" t="s">
        <v>21</v>
      </c>
      <c r="I12" s="4">
        <v>15</v>
      </c>
      <c r="J12" s="6">
        <f>19500*5</f>
        <v>97500</v>
      </c>
      <c r="K12" s="6">
        <f t="shared" si="0"/>
        <v>1462500</v>
      </c>
    </row>
    <row r="13" spans="6:11">
      <c r="F13" s="4">
        <f t="shared" si="1"/>
        <v>9</v>
      </c>
      <c r="G13" s="5" t="s">
        <v>22</v>
      </c>
      <c r="H13" s="5" t="s">
        <v>23</v>
      </c>
      <c r="I13" s="4">
        <v>25</v>
      </c>
      <c r="J13" s="6">
        <f>13800*10</f>
        <v>138000</v>
      </c>
      <c r="K13" s="6">
        <f t="shared" si="0"/>
        <v>3450000</v>
      </c>
    </row>
    <row r="14" spans="6:11">
      <c r="F14" s="4">
        <f t="shared" si="1"/>
        <v>10</v>
      </c>
      <c r="G14" s="5" t="s">
        <v>24</v>
      </c>
      <c r="H14" s="5" t="s">
        <v>25</v>
      </c>
      <c r="I14" s="4">
        <v>25</v>
      </c>
      <c r="J14" s="6">
        <f>12500*10</f>
        <v>125000</v>
      </c>
      <c r="K14" s="6">
        <f t="shared" si="0"/>
        <v>3125000</v>
      </c>
    </row>
    <row r="15" spans="6:11">
      <c r="F15" s="4">
        <f t="shared" si="1"/>
        <v>11</v>
      </c>
      <c r="G15" s="5" t="s">
        <v>26</v>
      </c>
      <c r="H15" s="16" t="s">
        <v>27</v>
      </c>
      <c r="I15" s="4">
        <v>20</v>
      </c>
      <c r="J15" s="6">
        <f t="shared" ref="J15:J18" si="2">11000*12</f>
        <v>132000</v>
      </c>
      <c r="K15" s="6">
        <f t="shared" si="0"/>
        <v>2640000</v>
      </c>
    </row>
    <row r="16" ht="15" spans="6:11">
      <c r="F16" s="4">
        <f t="shared" si="1"/>
        <v>12</v>
      </c>
      <c r="G16" s="5" t="s">
        <v>28</v>
      </c>
      <c r="H16" s="16" t="s">
        <v>29</v>
      </c>
      <c r="I16" s="4">
        <v>20</v>
      </c>
      <c r="J16" s="6">
        <f t="shared" si="2"/>
        <v>132000</v>
      </c>
      <c r="K16" s="6">
        <f t="shared" si="0"/>
        <v>2640000</v>
      </c>
    </row>
    <row r="17" ht="15" spans="6:11">
      <c r="F17" s="4">
        <f t="shared" si="1"/>
        <v>13</v>
      </c>
      <c r="G17" s="5" t="s">
        <v>30</v>
      </c>
      <c r="H17" s="16" t="s">
        <v>31</v>
      </c>
      <c r="I17" s="4">
        <v>20</v>
      </c>
      <c r="J17" s="6">
        <f t="shared" si="2"/>
        <v>132000</v>
      </c>
      <c r="K17" s="6">
        <f t="shared" si="0"/>
        <v>2640000</v>
      </c>
    </row>
    <row r="18" spans="6:11">
      <c r="F18" s="4">
        <f t="shared" si="1"/>
        <v>14</v>
      </c>
      <c r="G18" s="5" t="s">
        <v>32</v>
      </c>
      <c r="H18" s="16" t="s">
        <v>33</v>
      </c>
      <c r="I18" s="4">
        <v>20</v>
      </c>
      <c r="J18" s="6">
        <f t="shared" si="2"/>
        <v>132000</v>
      </c>
      <c r="K18" s="6">
        <f t="shared" si="0"/>
        <v>2640000</v>
      </c>
    </row>
    <row r="19" spans="6:11">
      <c r="F19" s="4">
        <v>15</v>
      </c>
      <c r="G19" s="5" t="s">
        <v>34</v>
      </c>
      <c r="H19" s="16" t="s">
        <v>35</v>
      </c>
      <c r="I19" s="4">
        <v>6</v>
      </c>
      <c r="J19" s="6">
        <f>9500*8</f>
        <v>76000</v>
      </c>
      <c r="K19" s="6">
        <f>I19*J19</f>
        <v>456000</v>
      </c>
    </row>
    <row r="20" ht="15" spans="6:11">
      <c r="F20" s="8">
        <v>16</v>
      </c>
      <c r="G20" s="9" t="s">
        <v>36</v>
      </c>
      <c r="H20" s="9" t="s">
        <v>37</v>
      </c>
      <c r="I20" s="8">
        <v>10</v>
      </c>
      <c r="J20" s="10">
        <f>9000*10</f>
        <v>90000</v>
      </c>
      <c r="K20" s="10">
        <f>I20*J20</f>
        <v>900000</v>
      </c>
    </row>
    <row r="21" ht="15" spans="6:11">
      <c r="F21" s="11"/>
      <c r="G21" s="11" t="s">
        <v>38</v>
      </c>
      <c r="H21" s="11"/>
      <c r="I21" s="12">
        <f>SUM(I5:I20)</f>
        <v>257</v>
      </c>
      <c r="J21" s="13"/>
      <c r="K21" s="14">
        <f>SUM(K5:K20)</f>
        <v>34258500</v>
      </c>
    </row>
  </sheetData>
  <pageMargins left="0.7" right="0.7" top="0.75" bottom="0.75" header="0.3" footer="0.3"/>
  <headerFooter/>
  <ignoredErrors>
    <ignoredError sqref="H5:H9 H2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Company>SPecialiST RePack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Лист1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Sanjar Qurbonboev</dc:creator>
  <cp:lastModifiedBy>Jahongir Musurmonov</cp:lastModifiedBy>
  <dcterms:created xsi:type="dcterms:W3CDTF">2026-08-11T05:26:00Z</dcterms:created>
  <dcterms:modified xsi:type="dcterms:W3CDTF">2026-09-03T05:36:11Z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FC00325F9C9A4CBD9267E15444E56398_13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
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39954DD5-E563-4FD5-91E3-5811DC005A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ка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5" i="1"/>
  <c r="E4" i="1"/>
  <c r="E3" i="1"/>
</calcChain>
</file>

<file path=xl/sharedStrings.xml><?xml version="1.0" encoding="utf-8"?>
<sst xmlns="http://schemas.openxmlformats.org/spreadsheetml/2006/main" count="14" uniqueCount="14">
  <si>
    <t>''AION BEVERAGES'' MCHJ (№TA-2024-02/000032 от 06.02.2024) (Gorilla)</t>
  </si>
  <si>
    <t>Наименование</t>
  </si>
  <si>
    <t>Штрих код</t>
  </si>
  <si>
    <t>Кол-во</t>
  </si>
  <si>
    <t>Цена</t>
  </si>
  <si>
    <t>Сумма</t>
  </si>
  <si>
    <t>energetik ichimlik gorilla 450ml</t>
  </si>
  <si>
    <t>4870022003305</t>
  </si>
  <si>
    <t>energetik ichimlik gorilla ultimate 450ml</t>
  </si>
  <si>
    <t>4870022003794</t>
  </si>
  <si>
    <t>energetik ichimlik gorilla mango-kokos 450ml</t>
  </si>
  <si>
    <t>4870022003312</t>
  </si>
  <si>
    <t>ИТОГО</t>
  </si>
  <si>
    <t xml:space="preserve">energetik gorilla 250 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</si>
</sst>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akas" displayName="Zakas" ref="A2:E7" totalsRowCount="1">
  <autoFilter ref="A2:E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Наименование"/>
    <tableColumn id="2" xr3:uid="{00000000-0010-0000-0000-000002000000}" name="Штрих код"/>
    <tableColumn id="3" xr3:uid="{00000000-0010-0000-0000-000003000000}" name="Кол-во"/>
    <tableColumn id="4" xr3:uid="{00000000-0010-0000-0000-000004000000}" name="Цена" totalsRowLabel="ИТОГО" totalsRowDxfId="1"/>
    <tableColumn id="5" xr3:uid="{00000000-0010-0000-0000-000005000000}" name="Сумма" totalsRowFunction="sum" totalsRowDxfId="0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6" sqref="B6"/>
    </sheetView>
  </sheetViews>
  <sheetFormatPr defaultRowHeight="14.4" x14ac:dyDescent="0.3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ht="15.6" x14ac:dyDescent="0.3">
      <c r="A1" s="5" t="s">
        <v>0</v>
      </c>
      <c r="B1" s="5"/>
      <c r="C1" s="5"/>
      <c r="D1" s="5"/>
      <c r="E1" s="5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t="s">
        <v>6</v>
      </c>
      <c r="B3" t="s">
        <v>7</v>
      </c>
      <c r="C3" s="2">
        <v>360</v>
      </c>
      <c r="D3" s="2">
        <v>9996</v>
      </c>
      <c r="E3" s="2">
        <f>Zakas[[#This Row],[Кол-во]]*Zakas[[#This Row],[Цена]]</f>
        <v>3598560</v>
      </c>
    </row>
    <row r="4" spans="1:5" x14ac:dyDescent="0.3">
      <c r="A4" t="s">
        <v>8</v>
      </c>
      <c r="B4" t="s">
        <v>9</v>
      </c>
      <c r="C4" s="2">
        <v>120</v>
      </c>
      <c r="D4" s="2">
        <v>9996</v>
      </c>
      <c r="E4" s="2">
        <f>Zakas[[#This Row],[Кол-во]]*Zakas[[#This Row],[Цена]]</f>
        <v>1199520</v>
      </c>
    </row>
    <row r="5" spans="1:5" x14ac:dyDescent="0.3">
      <c r="A5" t="s">
        <v>10</v>
      </c>
      <c r="B5" t="s">
        <v>11</v>
      </c>
      <c r="C5" s="2">
        <v>48</v>
      </c>
      <c r="D5" s="2">
        <v>9996</v>
      </c>
      <c r="E5" s="2">
        <f>Zakas[[#This Row],[Кол-во]]*Zakas[[#This Row],[Цена]]</f>
        <v>479808</v>
      </c>
    </row>
    <row r="6" spans="1:5" x14ac:dyDescent="0.3">
      <c r="A6" t="s">
        <v>13</v>
      </c>
      <c r="C6" s="2">
        <v>72</v>
      </c>
      <c r="D6" s="2">
        <v>6700</v>
      </c>
      <c r="E6" s="2">
        <f>Zakas[[#This Row],[Кол-во]]*Zakas[[#This Row],[Цена]]</f>
        <v>482400</v>
      </c>
    </row>
    <row r="7" spans="1:5" x14ac:dyDescent="0.3">
      <c r="D7" s="3" t="s">
        <v>12</v>
      </c>
      <c r="E7" s="4">
        <f>SUBTOTAL(109,Zakas[Сумма])</f>
        <v>5760288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2026-10-14T06:42:03Z</dcterms:created>
  <dcterms:modified xsi:type="dcterms:W3CDTF">2026-10-14T07:21:59Z</dcterms:modified>
  <cp:category/>
</cp:coreProperties>
</file>
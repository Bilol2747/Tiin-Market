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<sst xmlns="http://schemas.openxmlformats.org/spreadsheetml/2006/main" count="33" uniqueCount="33">
  <si>
    <t>''AION BEVERAGES'' MCHJ (№RJ-2025-10/000141 от 29.10.2025) (Rich dobriy))</t>
  </si>
  <si>
    <t>Наименование</t>
  </si>
  <si>
    <t>Штрих код</t>
  </si>
  <si>
    <t>Кол-во</t>
  </si>
  <si>
    <t>Цена</t>
  </si>
  <si>
    <t>Сумма</t>
  </si>
  <si>
    <t>rich olma 200ml</t>
  </si>
  <si>
    <t>4650075420386</t>
  </si>
  <si>
    <t>rich olcha 200ml</t>
  </si>
  <si>
    <t>4650075420409</t>
  </si>
  <si>
    <t>sharbat добрый kok olma 1l</t>
  </si>
  <si>
    <t>4607042434877</t>
  </si>
  <si>
    <t>sharbat добрый apelsin-mandarin 1l</t>
  </si>
  <si>
    <t>4670155801010</t>
  </si>
  <si>
    <t>pulpy apelsin 900ml</t>
  </si>
  <si>
    <t>4607174577794</t>
  </si>
  <si>
    <t>pulpy apelsin 450ml</t>
  </si>
  <si>
    <t>4607174577787</t>
  </si>
  <si>
    <t>sharbat добрый shaftoli 1l</t>
  </si>
  <si>
    <t>4650075425473</t>
  </si>
  <si>
    <t>добрый olcha 1l</t>
  </si>
  <si>
    <t>4607174577947</t>
  </si>
  <si>
    <t>нектар добрый ананас-яблоко 1л</t>
  </si>
  <si>
    <t>4670155802895</t>
  </si>
  <si>
    <t>pulpy ananas va mango 450ml</t>
  </si>
  <si>
    <t>4650075420980</t>
  </si>
  <si>
    <t>rich apelsin 1l</t>
  </si>
  <si>
    <t>4607042439155</t>
  </si>
  <si>
    <t>sharbat добрый multmeva 1l</t>
  </si>
  <si>
    <t>4607042434891</t>
  </si>
  <si>
    <t>rich olcha 1l</t>
  </si>
  <si>
    <t>4607042439223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</si>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</sst>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16" totalsRowCount="1" headerRowCount="1">
  <autoFilter ref="A2:E15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10300</v>
      </c>
      <c r="E3" s="3">
        <f>Zakas[[#This Row],[Кол-во]]*Zakas[[#This Row],[Цена]]</f>
        <v>1236000</v>
      </c>
    </row>
    <row r="4" spans="1:5" x14ac:dyDescent="0.25">
      <c r="A4" t="s">
        <v>8</v>
      </c>
      <c r="B4" t="s">
        <v>9</v>
      </c>
      <c r="C4" s="3">
        <v>120</v>
      </c>
      <c r="D4" s="3">
        <v>10600</v>
      </c>
      <c r="E4" s="3">
        <f>Zakas[[#This Row],[Кол-во]]*Zakas[[#This Row],[Цена]]</f>
        <v>1272000</v>
      </c>
    </row>
    <row r="5" spans="1:5" x14ac:dyDescent="0.25">
      <c r="A5" t="s">
        <v>10</v>
      </c>
      <c r="B5" t="s">
        <v>11</v>
      </c>
      <c r="C5" s="3">
        <v>48</v>
      </c>
      <c r="D5" s="3">
        <v>16725</v>
      </c>
      <c r="E5" s="3">
        <f>Zakas[[#This Row],[Кол-во]]*Zakas[[#This Row],[Цена]]</f>
        <v>802800</v>
      </c>
    </row>
    <row r="6" spans="1:5" x14ac:dyDescent="0.25">
      <c r="A6" t="s">
        <v>12</v>
      </c>
      <c r="B6" t="s">
        <v>13</v>
      </c>
      <c r="C6" s="3">
        <v>48</v>
      </c>
      <c r="D6" s="3">
        <v>17900</v>
      </c>
      <c r="E6" s="3">
        <f>Zakas[[#This Row],[Кол-во]]*Zakas[[#This Row],[Цена]]</f>
        <v>859200</v>
      </c>
    </row>
    <row r="7" spans="1:5" x14ac:dyDescent="0.25">
      <c r="A7" t="s">
        <v>14</v>
      </c>
      <c r="B7" t="s">
        <v>15</v>
      </c>
      <c r="C7" s="3">
        <v>48</v>
      </c>
      <c r="D7" s="3">
        <v>15000</v>
      </c>
      <c r="E7" s="3">
        <f>Zakas[[#This Row],[Кол-во]]*Zakas[[#This Row],[Цена]]</f>
        <v>720000</v>
      </c>
    </row>
    <row r="8" spans="1:5" x14ac:dyDescent="0.25">
      <c r="A8" t="s">
        <v>16</v>
      </c>
      <c r="B8" t="s">
        <v>17</v>
      </c>
      <c r="C8" s="3">
        <v>48</v>
      </c>
      <c r="D8" s="3">
        <v>10300</v>
      </c>
      <c r="E8" s="3">
        <f>Zakas[[#This Row],[Кол-во]]*Zakas[[#This Row],[Цена]]</f>
        <v>494400</v>
      </c>
    </row>
    <row r="9" spans="1:5" x14ac:dyDescent="0.25">
      <c r="A9" t="s">
        <v>18</v>
      </c>
      <c r="B9" t="s">
        <v>19</v>
      </c>
      <c r="C9" s="3">
        <v>24</v>
      </c>
      <c r="D9" s="3">
        <v>15897</v>
      </c>
      <c r="E9" s="3">
        <f>Zakas[[#This Row],[Кол-во]]*Zakas[[#This Row],[Цена]]</f>
        <v>381528</v>
      </c>
    </row>
    <row r="10" spans="1:5" x14ac:dyDescent="0.25">
      <c r="A10" t="s">
        <v>20</v>
      </c>
      <c r="B10" t="s">
        <v>21</v>
      </c>
      <c r="C10" s="3">
        <v>24</v>
      </c>
      <c r="D10" s="4">
        <v>15896.67</v>
      </c>
      <c r="E10" s="3">
        <f>Zakas[[#This Row],[Кол-во]]*Zakas[[#This Row],[Цена]]</f>
        <v>381520.08</v>
      </c>
    </row>
    <row r="11" spans="1:5" x14ac:dyDescent="0.25">
      <c r="A11" t="s">
        <v>22</v>
      </c>
      <c r="B11" t="s">
        <v>23</v>
      </c>
      <c r="C11" s="3">
        <v>24</v>
      </c>
      <c r="D11" s="3">
        <v>16725</v>
      </c>
      <c r="E11" s="3">
        <f>Zakas[[#This Row],[Кол-во]]*Zakas[[#This Row],[Цена]]</f>
        <v>401400</v>
      </c>
    </row>
    <row r="12" spans="1:5" x14ac:dyDescent="0.25">
      <c r="A12" t="s">
        <v>24</v>
      </c>
      <c r="B12" t="s">
        <v>25</v>
      </c>
      <c r="C12" s="3">
        <v>24</v>
      </c>
      <c r="D12" s="3">
        <v>10300</v>
      </c>
      <c r="E12" s="3">
        <f>Zakas[[#This Row],[Кол-во]]*Zakas[[#This Row],[Цена]]</f>
        <v>247200</v>
      </c>
    </row>
    <row r="13" spans="1:5" x14ac:dyDescent="0.25">
      <c r="A13" t="s">
        <v>26</v>
      </c>
      <c r="B13" t="s">
        <v>27</v>
      </c>
      <c r="C13" s="3">
        <v>24</v>
      </c>
      <c r="D13" s="3">
        <v>39700</v>
      </c>
      <c r="E13" s="3">
        <f>Zakas[[#This Row],[Кол-во]]*Zakas[[#This Row],[Цена]]</f>
        <v>952800</v>
      </c>
    </row>
    <row r="14" spans="1:5" x14ac:dyDescent="0.25">
      <c r="A14" t="s">
        <v>28</v>
      </c>
      <c r="B14" t="s">
        <v>29</v>
      </c>
      <c r="C14" s="3">
        <v>24</v>
      </c>
      <c r="D14" s="3">
        <v>16725</v>
      </c>
      <c r="E14" s="3">
        <f>Zakas[[#This Row],[Кол-во]]*Zakas[[#This Row],[Цена]]</f>
        <v>401400</v>
      </c>
    </row>
    <row r="15" spans="1:5" x14ac:dyDescent="0.25">
      <c r="A15" t="s">
        <v>30</v>
      </c>
      <c r="B15" t="s">
        <v>31</v>
      </c>
      <c r="C15" s="3">
        <v>24</v>
      </c>
      <c r="D15" s="3">
        <v>24800</v>
      </c>
      <c r="E15" s="3">
        <f>Zakas[[#This Row],[Кол-во]]*Zakas[[#This Row],[Цена]]</f>
        <v>595200</v>
      </c>
    </row>
    <row r="16" spans="1:5" x14ac:dyDescent="0.25">
      <c r="D16" s="5" t="s">
        <v>32</v>
      </c>
      <c r="E16" s="6">
        <f>SUBTOTAL(109,Zakas[Сумма])</f>
        <v>8745448.08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2026-10-03T04:58:33Z</dcterms:created>
  <dcterms:modified xsi:type="dcterms:W3CDTF">2026-10-03T04:58:33Z</dcterms:modified>
</cp:coreProperties>
</file>
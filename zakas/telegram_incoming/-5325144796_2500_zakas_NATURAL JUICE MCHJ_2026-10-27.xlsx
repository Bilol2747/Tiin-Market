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Заказ" state="visible" r:id="rId4"/>
  </sheets>
  <calcPr calcId="171027" fullCalcOnLoad="1"/>
</workbook>
</file>

<file path=xl/sharedStrings.xml><?xml version="1.0" encoding="utf-8"?>
<sst xmlns="http://schemas.openxmlformats.org/spreadsheetml/2006/main" count="27" uniqueCount="27">
  <si>
    <t>NATURAL JUICE MCHJ</t>
  </si>
  <si>
    <t>Наименование</t>
  </si>
  <si>
    <t>Штрих код</t>
  </si>
  <si>
    <t>Кол-во</t>
  </si>
  <si>
    <t>Цена</t>
  </si>
  <si>
    <t>Сумма</t>
  </si>
  <si>
    <t>сочная долинa qulupnay-banan 200ml</t>
  </si>
  <si>
    <t>4780032052630</t>
  </si>
  <si>
    <t>сочная долина miks meva 200ml</t>
  </si>
  <si>
    <t>4780032051220</t>
  </si>
  <si>
    <t>pro 100 sok olma 200ml</t>
  </si>
  <si>
    <t>4780032051107</t>
  </si>
  <si>
    <t>сочная долина olma-banan 200ml</t>
  </si>
  <si>
    <t>4780032052661</t>
  </si>
  <si>
    <t>up olma 125ml тетра пак</t>
  </si>
  <si>
    <t>4780032051770</t>
  </si>
  <si>
    <t>сочная долина multifrukt 1l</t>
  </si>
  <si>
    <t>4780032050360</t>
  </si>
  <si>
    <t>сочная долина olcha 1l</t>
  </si>
  <si>
    <t>4780032050346</t>
  </si>
  <si>
    <t>viko premium olma 1l</t>
  </si>
  <si>
    <t>4780032051053</t>
  </si>
  <si>
    <t>viko premium apelsin 1l</t>
  </si>
  <si>
    <t>4780032050957</t>
  </si>
  <si>
    <t>сочная долина limon-laym-yalpiz 1l</t>
  </si>
  <si>
    <t>4780032051091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</si>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</sst>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##"/>
  </numFmts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3" fontId="0" fillId="0" borderId="0" xfId="0" applyNumberFormat="1"/>
    <xf numFmtId="164" fontId="0" fillId="0" borderId="0" xfId="0" applyNumberFormat="1"/>
    <xf numFmtId="0" fontId="2" fillId="0" borderId="0" xfId="0" applyFont="1" applyAlignment="1">
      <alignment horizontal="right"/>
    </xf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Zakas" displayName="Zakas" ref="A2:E13" totalsRowCount="1" headerRowCount="1">
  <autoFilter ref="A2:E12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name="Наименование" totalsRowLabel=""/>
    <tableColumn id="2" name="Штрих код" totalsRowFunction="none"/>
    <tableColumn id="3" name="Кол-во" totalsRowFunction="none"/>
    <tableColumn id="4" name="Цена" totalsRowFunction="none"/>
    <tableColumn id="5" name="Сумма" totalsRowFunction="sum">
      <calculatedColumnFormula>Zakas[[#This Row],[Кол-во]]*Zakas[[#This Row],[Цена]]</calculatedColumnFormula>
    </tableColumn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FormatPr defaultRowHeight="15" outlineLevelRow="0" outlineLevelCol="0" x14ac:dyDescent="55"/>
  <cols>
    <col min="1" max="1" width="42" customWidth="1"/>
    <col min="2" max="2" width="18" customWidth="1"/>
    <col min="3" max="3" width="10" customWidth="1"/>
    <col min="4" max="4" width="12" customWidth="1"/>
    <col min="5" max="5" width="16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t="s">
        <v>6</v>
      </c>
      <c r="B3" t="s">
        <v>7</v>
      </c>
      <c r="C3" s="3">
        <v>270</v>
      </c>
      <c r="D3" s="4">
        <v>2803.2</v>
      </c>
      <c r="E3" s="3">
        <f>Zakas[[#This Row],[Кол-во]]*Zakas[[#This Row],[Цена]]</f>
        <v>756864</v>
      </c>
    </row>
    <row r="4" spans="1:5" x14ac:dyDescent="0.25">
      <c r="A4" t="s">
        <v>8</v>
      </c>
      <c r="B4" t="s">
        <v>9</v>
      </c>
      <c r="C4" s="3">
        <v>270</v>
      </c>
      <c r="D4" s="4">
        <v>2803.2</v>
      </c>
      <c r="E4" s="3">
        <f>Zakas[[#This Row],[Кол-во]]*Zakas[[#This Row],[Цена]]</f>
        <v>756864</v>
      </c>
    </row>
    <row r="5" spans="1:5" x14ac:dyDescent="0.25">
      <c r="A5" t="s">
        <v>10</v>
      </c>
      <c r="B5" t="s">
        <v>11</v>
      </c>
      <c r="C5" s="3">
        <v>270</v>
      </c>
      <c r="D5" s="3">
        <v>2400</v>
      </c>
      <c r="E5" s="3">
        <f>Zakas[[#This Row],[Кол-во]]*Zakas[[#This Row],[Цена]]</f>
        <v>648000</v>
      </c>
    </row>
    <row r="6" spans="1:5" x14ac:dyDescent="0.25">
      <c r="A6" t="s">
        <v>12</v>
      </c>
      <c r="B6" t="s">
        <v>13</v>
      </c>
      <c r="C6" s="3">
        <v>270</v>
      </c>
      <c r="D6" s="4">
        <v>3027.45</v>
      </c>
      <c r="E6" s="3">
        <f>Zakas[[#This Row],[Кол-во]]*Zakas[[#This Row],[Цена]]</f>
        <v>817411.5</v>
      </c>
    </row>
    <row r="7" spans="1:5" x14ac:dyDescent="0.25">
      <c r="A7" t="s">
        <v>14</v>
      </c>
      <c r="B7" t="s">
        <v>15</v>
      </c>
      <c r="C7" s="3">
        <v>200</v>
      </c>
      <c r="D7" s="4">
        <v>1603.2</v>
      </c>
      <c r="E7" s="3">
        <f>Zakas[[#This Row],[Кол-во]]*Zakas[[#This Row],[Цена]]</f>
        <v>320640</v>
      </c>
    </row>
    <row r="8" spans="1:5" x14ac:dyDescent="0.25">
      <c r="A8" t="s">
        <v>16</v>
      </c>
      <c r="B8" t="s">
        <v>17</v>
      </c>
      <c r="C8" s="3">
        <v>48</v>
      </c>
      <c r="D8" s="3">
        <v>12500</v>
      </c>
      <c r="E8" s="3">
        <f>Zakas[[#This Row],[Кол-во]]*Zakas[[#This Row],[Цена]]</f>
        <v>600000</v>
      </c>
    </row>
    <row r="9" spans="1:5" x14ac:dyDescent="0.25">
      <c r="A9" t="s">
        <v>18</v>
      </c>
      <c r="B9" t="s">
        <v>19</v>
      </c>
      <c r="C9" s="3">
        <v>48</v>
      </c>
      <c r="D9" s="3">
        <v>12500</v>
      </c>
      <c r="E9" s="3">
        <f>Zakas[[#This Row],[Кол-во]]*Zakas[[#This Row],[Цена]]</f>
        <v>600000</v>
      </c>
    </row>
    <row r="10" spans="1:5" x14ac:dyDescent="0.25">
      <c r="A10" t="s">
        <v>20</v>
      </c>
      <c r="B10" t="s">
        <v>21</v>
      </c>
      <c r="C10" s="3">
        <v>36</v>
      </c>
      <c r="D10" s="4">
        <v>13255.05</v>
      </c>
      <c r="E10" s="3">
        <f>Zakas[[#This Row],[Кол-во]]*Zakas[[#This Row],[Цена]]</f>
        <v>477181.8</v>
      </c>
    </row>
    <row r="11" spans="1:5" x14ac:dyDescent="0.25">
      <c r="A11" t="s">
        <v>22</v>
      </c>
      <c r="B11" t="s">
        <v>23</v>
      </c>
      <c r="C11" s="3">
        <v>24</v>
      </c>
      <c r="D11" s="3">
        <v>17962</v>
      </c>
      <c r="E11" s="3">
        <f>Zakas[[#This Row],[Кол-во]]*Zakas[[#This Row],[Цена]]</f>
        <v>431088</v>
      </c>
    </row>
    <row r="12" spans="1:5" x14ac:dyDescent="0.25">
      <c r="A12" t="s">
        <v>24</v>
      </c>
      <c r="B12" t="s">
        <v>25</v>
      </c>
      <c r="C12" s="3">
        <v>24</v>
      </c>
      <c r="D12" s="4">
        <v>10312.43</v>
      </c>
      <c r="E12" s="3">
        <f>Zakas[[#This Row],[Кол-во]]*Zakas[[#This Row],[Цена]]</f>
        <v>247498.32</v>
      </c>
    </row>
    <row r="13" spans="1:5" x14ac:dyDescent="0.25">
      <c r="D13" s="5" t="s">
        <v>26</v>
      </c>
      <c r="E13" s="6">
        <f>SUBTOTAL(109,Zakas[Сумма])</f>
        <v>5655547.62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2026-10-27T05:10:47Z</dcterms:created>
  <dcterms:modified xsi:type="dcterms:W3CDTF">2026-10-27T05:10:47Z</dcterms:modified>
</cp:coreProperties>
</file>
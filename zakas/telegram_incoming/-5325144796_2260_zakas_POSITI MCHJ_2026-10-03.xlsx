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<sst xmlns="http://schemas.openxmlformats.org/spreadsheetml/2006/main" count="43" uniqueCount="43">
  <si>
    <t>POSITI MCHJ</t>
  </si>
  <si>
    <t>Наименование</t>
  </si>
  <si>
    <t>Штрих код</t>
  </si>
  <si>
    <t>Кол-во</t>
  </si>
  <si>
    <t>Цена</t>
  </si>
  <si>
    <t>Сумма</t>
  </si>
  <si>
    <t>bonaqua gazsiz 500ml пэт</t>
  </si>
  <si>
    <t>4780069000086</t>
  </si>
  <si>
    <t>coca-cola 500ml пэт</t>
  </si>
  <si>
    <t>4780069000130</t>
  </si>
  <si>
    <t>bonaqua gazli 500ml пэт</t>
  </si>
  <si>
    <t>4780069000055</t>
  </si>
  <si>
    <t>coca-cola 500ml zero пэт</t>
  </si>
  <si>
    <t>4780069000680</t>
  </si>
  <si>
    <t>coca-cola 2l пэт</t>
  </si>
  <si>
    <t>4780069000734</t>
  </si>
  <si>
    <t>fanta energy 250мл стекло</t>
  </si>
  <si>
    <t>4780069000024</t>
  </si>
  <si>
    <t>coca-cola zero 250ml стекло</t>
  </si>
  <si>
    <t>4780069000659</t>
  </si>
  <si>
    <t>bonaqua gazsiz 1l пэт</t>
  </si>
  <si>
    <t>4780069001137</t>
  </si>
  <si>
    <t>coca-cola 1l пэт</t>
  </si>
  <si>
    <t>4780069000147</t>
  </si>
  <si>
    <t>fuse tea mango romashka 1l</t>
  </si>
  <si>
    <t>4780069000321</t>
  </si>
  <si>
    <t>bonaqua gazsiz 1,5l пэт</t>
  </si>
  <si>
    <t>4780069000093</t>
  </si>
  <si>
    <t>coca-cola 450мл ж/б</t>
  </si>
  <si>
    <t>4780069000987</t>
  </si>
  <si>
    <t>fanta 2l пэт</t>
  </si>
  <si>
    <t>4780069000741</t>
  </si>
  <si>
    <t>fuse tea mango ananas 1,5l</t>
  </si>
  <si>
    <t>4780069001151</t>
  </si>
  <si>
    <t>fuse tea ananas yalpiz 1l</t>
  </si>
  <si>
    <t>4780069000871</t>
  </si>
  <si>
    <t>fuse tea limon 500ml</t>
  </si>
  <si>
    <t>4780069000277</t>
  </si>
  <si>
    <t>fanta 450ml ж/б</t>
  </si>
  <si>
    <t>4780069000994</t>
  </si>
  <si>
    <t>fanta dyushes 1l пэт</t>
  </si>
  <si>
    <t>4780069001052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</si>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</sst>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21" totalsRowCount="1" headerRowCount="1">
  <autoFilter ref="A2:E2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720</v>
      </c>
      <c r="D3" s="4">
        <v>2334.93</v>
      </c>
      <c r="E3" s="3">
        <f>Zakas[[#This Row],[Кол-во]]*Zakas[[#This Row],[Цена]]</f>
        <v>1681149.5999999999</v>
      </c>
    </row>
    <row r="4" spans="1:5" x14ac:dyDescent="0.25">
      <c r="A4" t="s">
        <v>8</v>
      </c>
      <c r="B4" t="s">
        <v>9</v>
      </c>
      <c r="C4" s="3">
        <v>720</v>
      </c>
      <c r="D4" s="4">
        <v>5448.88</v>
      </c>
      <c r="E4" s="3">
        <f>Zakas[[#This Row],[Кол-во]]*Zakas[[#This Row],[Цена]]</f>
        <v>3923193.6</v>
      </c>
    </row>
    <row r="5" spans="1:5" x14ac:dyDescent="0.25">
      <c r="A5" t="s">
        <v>10</v>
      </c>
      <c r="B5" t="s">
        <v>11</v>
      </c>
      <c r="C5" s="3">
        <v>480</v>
      </c>
      <c r="D5" s="3">
        <v>2335</v>
      </c>
      <c r="E5" s="3">
        <f>Zakas[[#This Row],[Кол-во]]*Zakas[[#This Row],[Цена]]</f>
        <v>1120800</v>
      </c>
    </row>
    <row r="6" spans="1:5" x14ac:dyDescent="0.25">
      <c r="A6" t="s">
        <v>12</v>
      </c>
      <c r="B6" t="s">
        <v>13</v>
      </c>
      <c r="C6" s="3">
        <v>360</v>
      </c>
      <c r="D6" s="4">
        <v>5448.88</v>
      </c>
      <c r="E6" s="3">
        <f>Zakas[[#This Row],[Кол-во]]*Zakas[[#This Row],[Цена]]</f>
        <v>1961596.8</v>
      </c>
    </row>
    <row r="7" spans="1:5" x14ac:dyDescent="0.25">
      <c r="A7" t="s">
        <v>14</v>
      </c>
      <c r="B7" t="s">
        <v>15</v>
      </c>
      <c r="C7" s="3">
        <v>240</v>
      </c>
      <c r="D7" s="3">
        <v>14730</v>
      </c>
      <c r="E7" s="3">
        <f>Zakas[[#This Row],[Кол-во]]*Zakas[[#This Row],[Цена]]</f>
        <v>3535200</v>
      </c>
    </row>
    <row r="8" spans="1:5" x14ac:dyDescent="0.25">
      <c r="A8" t="s">
        <v>16</v>
      </c>
      <c r="B8" t="s">
        <v>17</v>
      </c>
      <c r="C8" s="3">
        <v>240</v>
      </c>
      <c r="D8" s="4">
        <v>6974.4</v>
      </c>
      <c r="E8" s="3">
        <f>Zakas[[#This Row],[Кол-во]]*Zakas[[#This Row],[Цена]]</f>
        <v>1673856</v>
      </c>
    </row>
    <row r="9" spans="1:5" x14ac:dyDescent="0.25">
      <c r="A9" t="s">
        <v>18</v>
      </c>
      <c r="B9" t="s">
        <v>19</v>
      </c>
      <c r="C9" s="3">
        <v>240</v>
      </c>
      <c r="D9" s="4">
        <v>6974.4</v>
      </c>
      <c r="E9" s="3">
        <f>Zakas[[#This Row],[Кол-во]]*Zakas[[#This Row],[Цена]]</f>
        <v>1673856</v>
      </c>
    </row>
    <row r="10" spans="1:5" x14ac:dyDescent="0.25">
      <c r="A10" t="s">
        <v>20</v>
      </c>
      <c r="B10" t="s">
        <v>21</v>
      </c>
      <c r="C10" s="3">
        <v>180</v>
      </c>
      <c r="D10" s="4">
        <v>3871.29</v>
      </c>
      <c r="E10" s="3">
        <f>Zakas[[#This Row],[Кол-во]]*Zakas[[#This Row],[Цена]]</f>
        <v>696832.2</v>
      </c>
    </row>
    <row r="11" spans="1:5" x14ac:dyDescent="0.25">
      <c r="A11" t="s">
        <v>22</v>
      </c>
      <c r="B11" t="s">
        <v>23</v>
      </c>
      <c r="C11" s="3">
        <v>180</v>
      </c>
      <c r="D11" s="4">
        <v>8523.78</v>
      </c>
      <c r="E11" s="3">
        <f>Zakas[[#This Row],[Кол-во]]*Zakas[[#This Row],[Цена]]</f>
        <v>1534280.4000000001</v>
      </c>
    </row>
    <row r="12" spans="1:5" x14ac:dyDescent="0.25">
      <c r="A12" t="s">
        <v>24</v>
      </c>
      <c r="B12" t="s">
        <v>25</v>
      </c>
      <c r="C12" s="3">
        <v>144</v>
      </c>
      <c r="D12" s="4">
        <v>8523.78</v>
      </c>
      <c r="E12" s="3">
        <f>Zakas[[#This Row],[Кол-во]]*Zakas[[#This Row],[Цена]]</f>
        <v>1227424.32</v>
      </c>
    </row>
    <row r="13" spans="1:5" x14ac:dyDescent="0.25">
      <c r="A13" t="s">
        <v>26</v>
      </c>
      <c r="B13" t="s">
        <v>27</v>
      </c>
      <c r="C13" s="3">
        <v>120</v>
      </c>
      <c r="D13" s="4">
        <v>4747.97</v>
      </c>
      <c r="E13" s="3">
        <f>Zakas[[#This Row],[Кол-во]]*Zakas[[#This Row],[Цена]]</f>
        <v>569756.4</v>
      </c>
    </row>
    <row r="14" spans="1:5" x14ac:dyDescent="0.25">
      <c r="A14" t="s">
        <v>28</v>
      </c>
      <c r="B14" t="s">
        <v>29</v>
      </c>
      <c r="C14" s="3">
        <v>120</v>
      </c>
      <c r="D14" s="4">
        <v>7749.52</v>
      </c>
      <c r="E14" s="3">
        <f>Zakas[[#This Row],[Кол-во]]*Zakas[[#This Row],[Цена]]</f>
        <v>929942.4</v>
      </c>
    </row>
    <row r="15" spans="1:5" x14ac:dyDescent="0.25">
      <c r="A15" t="s">
        <v>30</v>
      </c>
      <c r="B15" t="s">
        <v>31</v>
      </c>
      <c r="C15" s="3">
        <v>120</v>
      </c>
      <c r="D15" s="3">
        <v>14730</v>
      </c>
      <c r="E15" s="3">
        <f>Zakas[[#This Row],[Кол-во]]*Zakas[[#This Row],[Цена]]</f>
        <v>1767600</v>
      </c>
    </row>
    <row r="16" spans="1:5" x14ac:dyDescent="0.25">
      <c r="A16" t="s">
        <v>32</v>
      </c>
      <c r="B16" t="s">
        <v>33</v>
      </c>
      <c r="C16" s="3">
        <v>108</v>
      </c>
      <c r="D16" s="4">
        <v>11622.56</v>
      </c>
      <c r="E16" s="3">
        <f>Zakas[[#This Row],[Кол-во]]*Zakas[[#This Row],[Цена]]</f>
        <v>1255236.48</v>
      </c>
    </row>
    <row r="17" spans="1:5" x14ac:dyDescent="0.25">
      <c r="A17" t="s">
        <v>34</v>
      </c>
      <c r="B17" t="s">
        <v>35</v>
      </c>
      <c r="C17" s="3">
        <v>60</v>
      </c>
      <c r="D17" s="4">
        <v>8523.77</v>
      </c>
      <c r="E17" s="3">
        <f>Zakas[[#This Row],[Кол-во]]*Zakas[[#This Row],[Цена]]</f>
        <v>511426.2</v>
      </c>
    </row>
    <row r="18" spans="1:5" x14ac:dyDescent="0.25">
      <c r="A18" t="s">
        <v>36</v>
      </c>
      <c r="B18" t="s">
        <v>37</v>
      </c>
      <c r="C18" s="3">
        <v>60</v>
      </c>
      <c r="D18" s="4">
        <v>5448.88</v>
      </c>
      <c r="E18" s="3">
        <f>Zakas[[#This Row],[Кол-во]]*Zakas[[#This Row],[Цена]]</f>
        <v>326932.8</v>
      </c>
    </row>
    <row r="19" spans="1:5" x14ac:dyDescent="0.25">
      <c r="A19" t="s">
        <v>38</v>
      </c>
      <c r="B19" t="s">
        <v>39</v>
      </c>
      <c r="C19" s="3">
        <v>60</v>
      </c>
      <c r="D19" s="4">
        <v>7749.52</v>
      </c>
      <c r="E19" s="3">
        <f>Zakas[[#This Row],[Кол-во]]*Zakas[[#This Row],[Цена]]</f>
        <v>464971.2</v>
      </c>
    </row>
    <row r="20" spans="1:5" x14ac:dyDescent="0.25">
      <c r="A20" t="s">
        <v>40</v>
      </c>
      <c r="B20" t="s">
        <v>41</v>
      </c>
      <c r="C20" s="3">
        <v>36</v>
      </c>
      <c r="D20" s="4">
        <v>8523.79</v>
      </c>
      <c r="E20" s="3">
        <f>Zakas[[#This Row],[Кол-во]]*Zakas[[#This Row],[Цена]]</f>
        <v>306856.44000000006</v>
      </c>
    </row>
    <row r="21" spans="1:5" x14ac:dyDescent="0.25">
      <c r="D21" s="5" t="s">
        <v>42</v>
      </c>
      <c r="E21" s="6">
        <f>SUBTOTAL(109,Zakas[Сумма])</f>
        <v>25160910.839999996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2026-10-03T11:17:18Z</dcterms:created>
  <dcterms:modified xsi:type="dcterms:W3CDTF">2026-10-03T11:17:18Z</dcterms:modified>
</cp:coreProperties>
</file>
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<sst xmlns="http://schemas.openxmlformats.org/spreadsheetml/2006/main" count="63" uniqueCount="63">
  <si>
    <t>POSITI MCHJ</t>
  </si>
  <si>
    <t>Наименование</t>
  </si>
  <si>
    <t>Штрих код</t>
  </si>
  <si>
    <t>Кол-во</t>
  </si>
  <si>
    <t>Цена</t>
  </si>
  <si>
    <t>Сумма</t>
  </si>
  <si>
    <t>coca-cola 250ml ж/б</t>
  </si>
  <si>
    <t>4780069000482</t>
  </si>
  <si>
    <t>bonaqua gazsiz 500ml пэт</t>
  </si>
  <si>
    <t>4780069000086</t>
  </si>
  <si>
    <t>fuse tea mango-romashka 500ml</t>
  </si>
  <si>
    <t>4780069000840</t>
  </si>
  <si>
    <t>fanta 500ml пэт</t>
  </si>
  <si>
    <t>4780069000178</t>
  </si>
  <si>
    <t>coca-cola 1,5l пэт</t>
  </si>
  <si>
    <t>4780069000154</t>
  </si>
  <si>
    <t>coca-cola zero 1l пэт</t>
  </si>
  <si>
    <t>4780069000697</t>
  </si>
  <si>
    <t>coca-cola 500ml zero пэт</t>
  </si>
  <si>
    <t>4780069000680</t>
  </si>
  <si>
    <t>coca-cola 2l пэт</t>
  </si>
  <si>
    <t>4780069000734</t>
  </si>
  <si>
    <t>coca-cola energy 250ml стекло</t>
  </si>
  <si>
    <t>4780069000017</t>
  </si>
  <si>
    <t>coca-cola zero 250ml ж/б</t>
  </si>
  <si>
    <t>4780069000512</t>
  </si>
  <si>
    <t>fuse tea mango romashka 1l</t>
  </si>
  <si>
    <t>4780069000321</t>
  </si>
  <si>
    <t>coca-cola 1l пэт</t>
  </si>
  <si>
    <t>4780069000147</t>
  </si>
  <si>
    <t>sprite moxito 500ml пэт</t>
  </si>
  <si>
    <t>4780069001182</t>
  </si>
  <si>
    <t>sprite 500ml пэт</t>
  </si>
  <si>
    <t>4780069000215</t>
  </si>
  <si>
    <t>fuse tea mango ananas 1,5l</t>
  </si>
  <si>
    <t>4780069001151</t>
  </si>
  <si>
    <t>cappy pulpy, апельсин 500ml пэт</t>
  </si>
  <si>
    <t>4780069001175</t>
  </si>
  <si>
    <t>fanta 1,5l пэт</t>
  </si>
  <si>
    <t>4780069000192</t>
  </si>
  <si>
    <t>bonaqua gazsiz 1,5l пэт</t>
  </si>
  <si>
    <t>4780069000093</t>
  </si>
  <si>
    <t>cappy pulpy apelsin 1l пэт</t>
  </si>
  <si>
    <t>4780069000376</t>
  </si>
  <si>
    <t>fuse tea limon 500ml</t>
  </si>
  <si>
    <t>4780069000277</t>
  </si>
  <si>
    <t>bonaqua gazli 1,5l пэт</t>
  </si>
  <si>
    <t>4780069000062</t>
  </si>
  <si>
    <t>fuse tea mango moychechak 1.5l</t>
  </si>
  <si>
    <t>4780069001144</t>
  </si>
  <si>
    <t>fuse tea ananas yalpiz 1l</t>
  </si>
  <si>
    <t>4780069000871</t>
  </si>
  <si>
    <t>fanta dyushes 500ml пэт</t>
  </si>
  <si>
    <t>4780069001045</t>
  </si>
  <si>
    <t>sprite moxito 1l пэт</t>
  </si>
  <si>
    <t>4780069001199</t>
  </si>
  <si>
    <t>fanta dyushes 1l пэт</t>
  </si>
  <si>
    <t>4780069001052</t>
  </si>
  <si>
    <t>sprite 1l пэт</t>
  </si>
  <si>
    <t>4780069000222</t>
  </si>
  <si>
    <t>fanta dyushes 1,5l пэт</t>
  </si>
  <si>
    <t>4780069001069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</si>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</sst>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31" totalsRowCount="1" headerRowCount="1">
  <autoFilter ref="A2:E3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480</v>
      </c>
      <c r="D3" s="4">
        <v>4649.24</v>
      </c>
      <c r="E3" s="3">
        <f>Zakas[[#This Row],[Кол-во]]*Zakas[[#This Row],[Цена]]</f>
        <v>2231635.1999999997</v>
      </c>
    </row>
    <row r="4" spans="1:5" x14ac:dyDescent="0.25">
      <c r="A4" t="s">
        <v>8</v>
      </c>
      <c r="B4" t="s">
        <v>9</v>
      </c>
      <c r="C4" s="3">
        <v>408</v>
      </c>
      <c r="D4" s="4">
        <v>2334.93</v>
      </c>
      <c r="E4" s="3">
        <f>Zakas[[#This Row],[Кол-во]]*Zakas[[#This Row],[Цена]]</f>
        <v>952651.44</v>
      </c>
    </row>
    <row r="5" spans="1:5" x14ac:dyDescent="0.25">
      <c r="A5" t="s">
        <v>10</v>
      </c>
      <c r="B5" t="s">
        <v>11</v>
      </c>
      <c r="C5" s="3">
        <v>360</v>
      </c>
      <c r="D5" s="4">
        <v>5448.89</v>
      </c>
      <c r="E5" s="3">
        <f>Zakas[[#This Row],[Кол-во]]*Zakas[[#This Row],[Цена]]</f>
        <v>1961600.4000000001</v>
      </c>
    </row>
    <row r="6" spans="1:5" x14ac:dyDescent="0.25">
      <c r="A6" t="s">
        <v>12</v>
      </c>
      <c r="B6" t="s">
        <v>13</v>
      </c>
      <c r="C6" s="3">
        <v>360</v>
      </c>
      <c r="D6" s="3">
        <v>5449</v>
      </c>
      <c r="E6" s="3">
        <f>Zakas[[#This Row],[Кол-во]]*Zakas[[#This Row],[Цена]]</f>
        <v>1961640</v>
      </c>
    </row>
    <row r="7" spans="1:5" x14ac:dyDescent="0.25">
      <c r="A7" t="s">
        <v>14</v>
      </c>
      <c r="B7" t="s">
        <v>15</v>
      </c>
      <c r="C7" s="3">
        <v>360</v>
      </c>
      <c r="D7" s="4">
        <v>11622.5</v>
      </c>
      <c r="E7" s="3">
        <f>Zakas[[#This Row],[Кол-во]]*Zakas[[#This Row],[Цена]]</f>
        <v>4184100</v>
      </c>
    </row>
    <row r="8" spans="1:5" x14ac:dyDescent="0.25">
      <c r="A8" t="s">
        <v>16</v>
      </c>
      <c r="B8" t="s">
        <v>17</v>
      </c>
      <c r="C8" s="3">
        <v>300</v>
      </c>
      <c r="D8" s="4">
        <v>8523.78</v>
      </c>
      <c r="E8" s="3">
        <f>Zakas[[#This Row],[Кол-во]]*Zakas[[#This Row],[Цена]]</f>
        <v>2557134</v>
      </c>
    </row>
    <row r="9" spans="1:5" x14ac:dyDescent="0.25">
      <c r="A9" t="s">
        <v>18</v>
      </c>
      <c r="B9" t="s">
        <v>19</v>
      </c>
      <c r="C9" s="3">
        <v>276</v>
      </c>
      <c r="D9" s="4">
        <v>5448.88</v>
      </c>
      <c r="E9" s="3">
        <f>Zakas[[#This Row],[Кол-во]]*Zakas[[#This Row],[Цена]]</f>
        <v>1503890.8800000001</v>
      </c>
    </row>
    <row r="10" spans="1:5" x14ac:dyDescent="0.25">
      <c r="A10" t="s">
        <v>20</v>
      </c>
      <c r="B10" t="s">
        <v>21</v>
      </c>
      <c r="C10" s="3">
        <v>240</v>
      </c>
      <c r="D10" s="3">
        <v>14730</v>
      </c>
      <c r="E10" s="3">
        <f>Zakas[[#This Row],[Кол-во]]*Zakas[[#This Row],[Цена]]</f>
        <v>3535200</v>
      </c>
    </row>
    <row r="11" spans="1:5" x14ac:dyDescent="0.25">
      <c r="A11" t="s">
        <v>22</v>
      </c>
      <c r="B11" t="s">
        <v>23</v>
      </c>
      <c r="C11" s="3">
        <v>240</v>
      </c>
      <c r="D11" s="4">
        <v>6974.4</v>
      </c>
      <c r="E11" s="3">
        <f>Zakas[[#This Row],[Кол-во]]*Zakas[[#This Row],[Цена]]</f>
        <v>1673856</v>
      </c>
    </row>
    <row r="12" spans="1:5" x14ac:dyDescent="0.25">
      <c r="A12" t="s">
        <v>24</v>
      </c>
      <c r="B12" t="s">
        <v>25</v>
      </c>
      <c r="C12" s="3">
        <v>180</v>
      </c>
      <c r="D12" s="4">
        <v>4649.24</v>
      </c>
      <c r="E12" s="3">
        <f>Zakas[[#This Row],[Кол-во]]*Zakas[[#This Row],[Цена]]</f>
        <v>836863.2</v>
      </c>
    </row>
    <row r="13" spans="1:5" x14ac:dyDescent="0.25">
      <c r="A13" t="s">
        <v>26</v>
      </c>
      <c r="B13" t="s">
        <v>27</v>
      </c>
      <c r="C13" s="3">
        <v>180</v>
      </c>
      <c r="D13" s="4">
        <v>8523.78</v>
      </c>
      <c r="E13" s="3">
        <f>Zakas[[#This Row],[Кол-во]]*Zakas[[#This Row],[Цена]]</f>
        <v>1534280.4000000001</v>
      </c>
    </row>
    <row r="14" spans="1:5" x14ac:dyDescent="0.25">
      <c r="A14" t="s">
        <v>28</v>
      </c>
      <c r="B14" t="s">
        <v>29</v>
      </c>
      <c r="C14" s="3">
        <v>180</v>
      </c>
      <c r="D14" s="4">
        <v>8523.78</v>
      </c>
      <c r="E14" s="3">
        <f>Zakas[[#This Row],[Кол-во]]*Zakas[[#This Row],[Цена]]</f>
        <v>1534280.4000000001</v>
      </c>
    </row>
    <row r="15" spans="1:5" x14ac:dyDescent="0.25">
      <c r="A15" t="s">
        <v>30</v>
      </c>
      <c r="B15" t="s">
        <v>31</v>
      </c>
      <c r="C15" s="3">
        <v>96</v>
      </c>
      <c r="D15" s="3">
        <v>5449</v>
      </c>
      <c r="E15" s="3">
        <f>Zakas[[#This Row],[Кол-во]]*Zakas[[#This Row],[Цена]]</f>
        <v>523104</v>
      </c>
    </row>
    <row r="16" spans="1:5" x14ac:dyDescent="0.25">
      <c r="A16" t="s">
        <v>32</v>
      </c>
      <c r="B16" t="s">
        <v>33</v>
      </c>
      <c r="C16" s="3">
        <v>96</v>
      </c>
      <c r="D16" s="4">
        <v>5448.89</v>
      </c>
      <c r="E16" s="3">
        <f>Zakas[[#This Row],[Кол-во]]*Zakas[[#This Row],[Цена]]</f>
        <v>523093.44000000006</v>
      </c>
    </row>
    <row r="17" spans="1:5" x14ac:dyDescent="0.25">
      <c r="A17" t="s">
        <v>34</v>
      </c>
      <c r="B17" t="s">
        <v>35</v>
      </c>
      <c r="C17" s="3">
        <v>90</v>
      </c>
      <c r="D17" s="4">
        <v>11622.56</v>
      </c>
      <c r="E17" s="3">
        <f>Zakas[[#This Row],[Кол-во]]*Zakas[[#This Row],[Цена]]</f>
        <v>1046030.3999999999</v>
      </c>
    </row>
    <row r="18" spans="1:5" x14ac:dyDescent="0.25">
      <c r="A18" t="s">
        <v>36</v>
      </c>
      <c r="B18" t="s">
        <v>37</v>
      </c>
      <c r="C18" s="3">
        <v>72</v>
      </c>
      <c r="D18" s="4">
        <v>7751.26</v>
      </c>
      <c r="E18" s="3">
        <f>Zakas[[#This Row],[Кол-во]]*Zakas[[#This Row],[Цена]]</f>
        <v>558090.72</v>
      </c>
    </row>
    <row r="19" spans="1:5" x14ac:dyDescent="0.25">
      <c r="A19" t="s">
        <v>38</v>
      </c>
      <c r="B19" t="s">
        <v>39</v>
      </c>
      <c r="C19" s="3">
        <v>72</v>
      </c>
      <c r="D19" s="3">
        <v>11623</v>
      </c>
      <c r="E19" s="3">
        <f>Zakas[[#This Row],[Кол-во]]*Zakas[[#This Row],[Цена]]</f>
        <v>836856</v>
      </c>
    </row>
    <row r="20" spans="1:5" x14ac:dyDescent="0.25">
      <c r="A20" t="s">
        <v>40</v>
      </c>
      <c r="B20" t="s">
        <v>41</v>
      </c>
      <c r="C20" s="3">
        <v>72</v>
      </c>
      <c r="D20" s="4">
        <v>4747.97</v>
      </c>
      <c r="E20" s="3">
        <f>Zakas[[#This Row],[Кол-во]]*Zakas[[#This Row],[Цена]]</f>
        <v>341853.84</v>
      </c>
    </row>
    <row r="21" spans="1:5" x14ac:dyDescent="0.25">
      <c r="A21" t="s">
        <v>42</v>
      </c>
      <c r="B21" t="s">
        <v>43</v>
      </c>
      <c r="C21" s="3">
        <v>60</v>
      </c>
      <c r="D21" s="4">
        <v>13176.27</v>
      </c>
      <c r="E21" s="3">
        <f>Zakas[[#This Row],[Кол-во]]*Zakas[[#This Row],[Цена]]</f>
        <v>790576.2000000001</v>
      </c>
    </row>
    <row r="22" spans="1:5" x14ac:dyDescent="0.25">
      <c r="A22" t="s">
        <v>44</v>
      </c>
      <c r="B22" t="s">
        <v>45</v>
      </c>
      <c r="C22" s="3">
        <v>60</v>
      </c>
      <c r="D22" s="4">
        <v>5448.88</v>
      </c>
      <c r="E22" s="3">
        <f>Zakas[[#This Row],[Кол-во]]*Zakas[[#This Row],[Цена]]</f>
        <v>326932.8</v>
      </c>
    </row>
    <row r="23" spans="1:5" x14ac:dyDescent="0.25">
      <c r="A23" t="s">
        <v>46</v>
      </c>
      <c r="B23" t="s">
        <v>47</v>
      </c>
      <c r="C23" s="3">
        <v>60</v>
      </c>
      <c r="D23" s="4">
        <v>4747.83</v>
      </c>
      <c r="E23" s="3">
        <f>Zakas[[#This Row],[Кол-во]]*Zakas[[#This Row],[Цена]]</f>
        <v>284869.8</v>
      </c>
    </row>
    <row r="24" spans="1:5" x14ac:dyDescent="0.25">
      <c r="A24" t="s">
        <v>48</v>
      </c>
      <c r="B24" t="s">
        <v>49</v>
      </c>
      <c r="C24" s="3">
        <v>60</v>
      </c>
      <c r="D24" s="4">
        <v>11622.54</v>
      </c>
      <c r="E24" s="3">
        <f>Zakas[[#This Row],[Кол-во]]*Zakas[[#This Row],[Цена]]</f>
        <v>697352.4</v>
      </c>
    </row>
    <row r="25" spans="1:5" x14ac:dyDescent="0.25">
      <c r="A25" t="s">
        <v>50</v>
      </c>
      <c r="B25" t="s">
        <v>51</v>
      </c>
      <c r="C25" s="3">
        <v>54</v>
      </c>
      <c r="D25" s="4">
        <v>8523.77</v>
      </c>
      <c r="E25" s="3">
        <f>Zakas[[#This Row],[Кол-во]]*Zakas[[#This Row],[Цена]]</f>
        <v>460283.58</v>
      </c>
    </row>
    <row r="26" spans="1:5" x14ac:dyDescent="0.25">
      <c r="A26" t="s">
        <v>52</v>
      </c>
      <c r="B26" t="s">
        <v>53</v>
      </c>
      <c r="C26" s="3">
        <v>48</v>
      </c>
      <c r="D26" s="4">
        <v>5448.88</v>
      </c>
      <c r="E26" s="3">
        <f>Zakas[[#This Row],[Кол-во]]*Zakas[[#This Row],[Цена]]</f>
        <v>261546.24</v>
      </c>
    </row>
    <row r="27" spans="1:5" x14ac:dyDescent="0.25">
      <c r="A27" t="s">
        <v>54</v>
      </c>
      <c r="B27" t="s">
        <v>55</v>
      </c>
      <c r="C27" s="3">
        <v>42</v>
      </c>
      <c r="D27" s="4">
        <v>8523.78</v>
      </c>
      <c r="E27" s="3">
        <f>Zakas[[#This Row],[Кол-во]]*Zakas[[#This Row],[Цена]]</f>
        <v>357998.76</v>
      </c>
    </row>
    <row r="28" spans="1:5" x14ac:dyDescent="0.25">
      <c r="A28" t="s">
        <v>56</v>
      </c>
      <c r="B28" t="s">
        <v>57</v>
      </c>
      <c r="C28" s="3">
        <v>36</v>
      </c>
      <c r="D28" s="4">
        <v>8523.78</v>
      </c>
      <c r="E28" s="3">
        <f>Zakas[[#This Row],[Кол-во]]*Zakas[[#This Row],[Цена]]</f>
        <v>306856.08</v>
      </c>
    </row>
    <row r="29" spans="1:5" x14ac:dyDescent="0.25">
      <c r="A29" t="s">
        <v>58</v>
      </c>
      <c r="B29" t="s">
        <v>59</v>
      </c>
      <c r="C29" s="3">
        <v>36</v>
      </c>
      <c r="D29" s="4">
        <v>8523.78</v>
      </c>
      <c r="E29" s="3">
        <f>Zakas[[#This Row],[Кол-во]]*Zakas[[#This Row],[Цена]]</f>
        <v>306856.08</v>
      </c>
    </row>
    <row r="30" spans="1:5" x14ac:dyDescent="0.25">
      <c r="A30" t="s">
        <v>60</v>
      </c>
      <c r="B30" t="s">
        <v>61</v>
      </c>
      <c r="C30" s="3">
        <v>18</v>
      </c>
      <c r="D30" s="4">
        <v>11622.5</v>
      </c>
      <c r="E30" s="3">
        <f>Zakas[[#This Row],[Кол-во]]*Zakas[[#This Row],[Цена]]</f>
        <v>209205</v>
      </c>
    </row>
    <row r="31" spans="1:5" x14ac:dyDescent="0.25">
      <c r="D31" s="5" t="s">
        <v>62</v>
      </c>
      <c r="E31" s="6">
        <f>SUBTOTAL(109,Zakas[Сумма])</f>
        <v>32298637.25999999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2026-10-15T05:34:47Z</dcterms:created>
  <dcterms:modified xsi:type="dcterms:W3CDTF">2026-10-15T05:34:47Z</dcterms:modified>
</cp:coreProperties>
</file>
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17C952D2-A7EC-45B0-89CA-CC3455972B45}" xr6:coauthVersionLast="47" xr6:coauthVersionMax="47" xr10:uidLastSave="{00000000-0000-0000-0000-000000000000}"/>
  <bookViews>
    <workbookView xWindow="384" yWindow="384" windowWidth="17280" windowHeight="8964" xr2:uid="{00000000-000D-0000-FFFF-FFFF00000000}"/>
  </bookViews>
  <sheets>
    <sheet name="Зака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1" l="1"/>
  <c r="E8" i="1"/>
  <c r="E7" i="1"/>
  <c r="E6" i="1"/>
  <c r="E5" i="1"/>
  <c r="E4" i="1"/>
  <c r="E3" i="1"/>
  <c r="E10" i="1" l="1"/>
</calcChain>
</file>

<file path=xl/sharedStrings.xml><?xml version="1.0" encoding="utf-8"?>
<sst xmlns="http://schemas.openxmlformats.org/spreadsheetml/2006/main" count="21" uniqueCount="21">
  <si>
    <t>ООО BIZNES AZIYA (Laimon Fresh/Ессентуки)</t>
  </si>
  <si>
    <t>Наименование</t>
  </si>
  <si>
    <t>Штрих код</t>
  </si>
  <si>
    <t>Кол-во</t>
  </si>
  <si>
    <t>Цена</t>
  </si>
  <si>
    <t>Сумма</t>
  </si>
  <si>
    <t>laimon fresh, ризовор мевали 330ml can</t>
  </si>
  <si>
    <t>4630065251916</t>
  </si>
  <si>
    <t>laimon fresh, 330ml can</t>
  </si>
  <si>
    <t>4620001311231</t>
  </si>
  <si>
    <t>ichimlik laimon fresh rizavor meva 1l pet</t>
  </si>
  <si>
    <t>4630065251954</t>
  </si>
  <si>
    <t>ichimlik laimon fresh rizavor mevalar 500ml pet</t>
  </si>
  <si>
    <t>4630065251930</t>
  </si>
  <si>
    <t>ichimlik laimon fresh 900ml pet</t>
  </si>
  <si>
    <t>4630065255969</t>
  </si>
  <si>
    <t>laimon fresh, 0,5l pet</t>
  </si>
  <si>
    <t>4620001317080</t>
  </si>
  <si>
    <t>jermuk, шиша бутилка 0,5 л</t>
  </si>
  <si>
    <t>4850013000162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</si>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</sst>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  <xf numFmtId="0" fontId="1" fillId="0" borderId="0" xfId="0" applyFont="1" applyAlignment="1">
      <alignment horizontal="left" vertical="center"/>
    </xf>
  </cellXfs>
  <cellStyles count="1">
    <cellStyle name="Обычный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Zakas" displayName="Zakas" ref="A2:E10" totalsRowCount="1">
  <autoFilter ref="A2:E9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000-000001000000}" name="Наименование"/>
    <tableColumn id="2" xr3:uid="{00000000-0010-0000-0000-000002000000}" name="Штрих код"/>
    <tableColumn id="3" xr3:uid="{00000000-0010-0000-0000-000003000000}" name="Кол-во"/>
    <tableColumn id="4" xr3:uid="{00000000-0010-0000-0000-000004000000}" name="Цена" totalsRowLabel="ИТОГО" totalsRowDxfId="1"/>
    <tableColumn id="5" xr3:uid="{00000000-0010-0000-0000-000005000000}" name="Сумма" totalsRowFunction="sum" totalsRowDxfId="0">
      <calculatedColumnFormula>Zakas[[#This Row],[Кол-во]]*Zakas[[#This Row],[Цена]]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C9" sqref="C9"/>
    </sheetView>
  </sheetViews>
  <sheetFormatPr defaultRowHeight="14.4" x14ac:dyDescent="0.3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ht="15.6" x14ac:dyDescent="0.3">
      <c r="A1" s="5" t="s">
        <v>0</v>
      </c>
      <c r="B1" s="5"/>
      <c r="C1" s="5"/>
      <c r="D1" s="5"/>
      <c r="E1" s="5"/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t="s">
        <v>6</v>
      </c>
      <c r="B3" t="s">
        <v>7</v>
      </c>
      <c r="C3" s="2">
        <v>48</v>
      </c>
      <c r="D3" s="2">
        <v>7840</v>
      </c>
      <c r="E3" s="2">
        <f>Zakas[[#This Row],[Кол-во]]*Zakas[[#This Row],[Цена]]</f>
        <v>376320</v>
      </c>
    </row>
    <row r="4" spans="1:5" x14ac:dyDescent="0.3">
      <c r="A4" t="s">
        <v>8</v>
      </c>
      <c r="B4" t="s">
        <v>9</v>
      </c>
      <c r="C4" s="2">
        <v>48</v>
      </c>
      <c r="D4" s="2">
        <v>7840</v>
      </c>
      <c r="E4" s="2">
        <f>Zakas[[#This Row],[Кол-во]]*Zakas[[#This Row],[Цена]]</f>
        <v>376320</v>
      </c>
    </row>
    <row r="5" spans="1:5" x14ac:dyDescent="0.3">
      <c r="A5" t="s">
        <v>10</v>
      </c>
      <c r="B5" t="s">
        <v>11</v>
      </c>
      <c r="C5" s="2">
        <v>36</v>
      </c>
      <c r="D5" s="2">
        <v>14700</v>
      </c>
      <c r="E5" s="2">
        <f>Zakas[[#This Row],[Кол-во]]*Zakas[[#This Row],[Цена]]</f>
        <v>529200</v>
      </c>
    </row>
    <row r="6" spans="1:5" x14ac:dyDescent="0.3">
      <c r="A6" t="s">
        <v>12</v>
      </c>
      <c r="B6" t="s">
        <v>13</v>
      </c>
      <c r="C6" s="2">
        <v>48</v>
      </c>
      <c r="D6" s="2">
        <v>8820</v>
      </c>
      <c r="E6" s="2">
        <f>Zakas[[#This Row],[Кол-во]]*Zakas[[#This Row],[Цена]]</f>
        <v>423360</v>
      </c>
    </row>
    <row r="7" spans="1:5" x14ac:dyDescent="0.3">
      <c r="A7" t="s">
        <v>14</v>
      </c>
      <c r="B7" t="s">
        <v>15</v>
      </c>
      <c r="C7" s="2">
        <v>36</v>
      </c>
      <c r="D7" s="2">
        <v>14700</v>
      </c>
      <c r="E7" s="2">
        <f>Zakas[[#This Row],[Кол-во]]*Zakas[[#This Row],[Цена]]</f>
        <v>529200</v>
      </c>
    </row>
    <row r="8" spans="1:5" x14ac:dyDescent="0.3">
      <c r="A8" t="s">
        <v>16</v>
      </c>
      <c r="B8" t="s">
        <v>17</v>
      </c>
      <c r="C8" s="2">
        <v>48</v>
      </c>
      <c r="D8" s="2">
        <v>8820</v>
      </c>
      <c r="E8" s="2">
        <f>Zakas[[#This Row],[Кол-во]]*Zakas[[#This Row],[Цена]]</f>
        <v>423360</v>
      </c>
    </row>
    <row r="9" spans="1:5" x14ac:dyDescent="0.3">
      <c r="A9" t="s">
        <v>18</v>
      </c>
      <c r="B9" t="s">
        <v>19</v>
      </c>
      <c r="C9" s="2">
        <v>24</v>
      </c>
      <c r="D9" s="2">
        <v>12250</v>
      </c>
      <c r="E9" s="2">
        <f>Zakas[[#This Row],[Кол-во]]*Zakas[[#This Row],[Цена]]</f>
        <v>294000</v>
      </c>
    </row>
    <row r="10" spans="1:5" x14ac:dyDescent="0.3">
      <c r="D10" s="3" t="s">
        <v>20</v>
      </c>
      <c r="E10" s="4">
        <f>SUBTOTAL(109,Zakas[Сумма])</f>
        <v>2951760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2026-10-13T09:40:12Z</dcterms:created>
  <dcterms:modified xsi:type="dcterms:W3CDTF">2026-10-13T09:43:37Z</dcterms:modified>
  <cp:category/>
</cp:coreProperties>
</file>
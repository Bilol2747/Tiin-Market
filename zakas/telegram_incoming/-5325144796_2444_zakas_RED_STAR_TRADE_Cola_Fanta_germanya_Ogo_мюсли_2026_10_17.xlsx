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<sst xmlns="http://schemas.openxmlformats.org/spreadsheetml/2006/main" count="47" uniqueCount="47">
  <si>
    <t>RED STAR TRADE (Cola Fanta germanya ) Ogo мюсли</t>
  </si>
  <si>
    <t>Наименование</t>
  </si>
  <si>
    <t>Штрих код</t>
  </si>
  <si>
    <t>Кол-во</t>
  </si>
  <si>
    <t>Цена</t>
  </si>
  <si>
    <t>Сумма</t>
  </si>
  <si>
    <t>ichimlik pepsi max no sugar 330ml import</t>
  </si>
  <si>
    <t>5741000224427</t>
  </si>
  <si>
    <t>monster energy original 500ml</t>
  </si>
  <si>
    <t>5061013946001</t>
  </si>
  <si>
    <t>dr. pepper 0.33л strawberries &amp; cream</t>
  </si>
  <si>
    <t>5904741660026</t>
  </si>
  <si>
    <t>ichimlik nawon basil seed drink with kiwi flavor 290ml</t>
  </si>
  <si>
    <t>8936225840829</t>
  </si>
  <si>
    <t>dr. pepper 0.33л zero sugar</t>
  </si>
  <si>
    <t>8435185953711</t>
  </si>
  <si>
    <t>dr. pepper 0.33л cherry</t>
  </si>
  <si>
    <t>8435185954626</t>
  </si>
  <si>
    <t>gazli ichimlik schweppes indian tonic 330ml</t>
  </si>
  <si>
    <t>5997264104252</t>
  </si>
  <si>
    <t>schweppes indian tonic п/б 850мл</t>
  </si>
  <si>
    <t>5902860410744</t>
  </si>
  <si>
    <t>ichimlik dr. pepper canada dry ginger ale 330ml</t>
  </si>
  <si>
    <t>8435185954954</t>
  </si>
  <si>
    <t>dr. pepper 0.33л classic</t>
  </si>
  <si>
    <t>8435185944009</t>
  </si>
  <si>
    <t>nawon basil seed pineapple juice 290ml</t>
  </si>
  <si>
    <t>8936225846791</t>
  </si>
  <si>
    <t>ichimlik nawon basil seed drink with watermelon flavor 290ml</t>
  </si>
  <si>
    <t>8936177709304</t>
  </si>
  <si>
    <t>ichimlik nawon basil seed drink with orange flavor 290ml</t>
  </si>
  <si>
    <t>8936177702879</t>
  </si>
  <si>
    <t>ichimlik nawon basil seed drink with strawberry flavor 290ml</t>
  </si>
  <si>
    <t>8936177702886</t>
  </si>
  <si>
    <t>monster energy ultra black 500ml</t>
  </si>
  <si>
    <t>5060639128709</t>
  </si>
  <si>
    <t>monster energy ultra zero white 500ml</t>
  </si>
  <si>
    <t>5060337500258</t>
  </si>
  <si>
    <t>ichimlik schweppes tonic 330ml</t>
  </si>
  <si>
    <t>5740700994630</t>
  </si>
  <si>
    <t>ichimlik dr. pepper vanila float 330ml</t>
  </si>
  <si>
    <t>5902860417781</t>
  </si>
  <si>
    <t>ichimlik nawon basil seed drink with melon flavor 290ml</t>
  </si>
  <si>
    <t>8936225844971</t>
  </si>
  <si>
    <t>напиток schweppes indian tonic 1.35л</t>
  </si>
  <si>
    <t>5902860411208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</si>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</sst>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23" totalsRowCount="1" headerRowCount="1">
  <autoFilter ref="A2:E2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48</v>
      </c>
      <c r="D3" s="3">
        <v>12000</v>
      </c>
      <c r="E3" s="3">
        <f>Zakas[[#This Row],[Кол-во]]*Zakas[[#This Row],[Цена]]</f>
        <v>576000</v>
      </c>
    </row>
    <row r="4" spans="1:5" x14ac:dyDescent="0.25">
      <c r="A4" t="s">
        <v>8</v>
      </c>
      <c r="B4" t="s">
        <v>9</v>
      </c>
      <c r="C4" s="3">
        <v>48</v>
      </c>
      <c r="D4" s="3">
        <v>22000</v>
      </c>
      <c r="E4" s="3">
        <f>Zakas[[#This Row],[Кол-во]]*Zakas[[#This Row],[Цена]]</f>
        <v>1056000</v>
      </c>
    </row>
    <row r="5" spans="1:5" x14ac:dyDescent="0.25">
      <c r="A5" t="s">
        <v>10</v>
      </c>
      <c r="B5" t="s">
        <v>11</v>
      </c>
      <c r="C5" s="3">
        <v>48</v>
      </c>
      <c r="D5" s="3">
        <v>12000</v>
      </c>
      <c r="E5" s="3">
        <f>Zakas[[#This Row],[Кол-во]]*Zakas[[#This Row],[Цена]]</f>
        <v>576000</v>
      </c>
    </row>
    <row r="6" spans="1:5" x14ac:dyDescent="0.25">
      <c r="A6" t="s">
        <v>12</v>
      </c>
      <c r="B6" t="s">
        <v>13</v>
      </c>
      <c r="C6" s="3">
        <v>48</v>
      </c>
      <c r="D6" s="3">
        <v>11000</v>
      </c>
      <c r="E6" s="3">
        <f>Zakas[[#This Row],[Кол-во]]*Zakas[[#This Row],[Цена]]</f>
        <v>528000</v>
      </c>
    </row>
    <row r="7" spans="1:5" x14ac:dyDescent="0.25">
      <c r="A7" t="s">
        <v>14</v>
      </c>
      <c r="B7" t="s">
        <v>15</v>
      </c>
      <c r="C7" s="3">
        <v>48</v>
      </c>
      <c r="D7" s="3">
        <v>11000</v>
      </c>
      <c r="E7" s="3">
        <f>Zakas[[#This Row],[Кол-во]]*Zakas[[#This Row],[Цена]]</f>
        <v>528000</v>
      </c>
    </row>
    <row r="8" spans="1:5" x14ac:dyDescent="0.25">
      <c r="A8" t="s">
        <v>16</v>
      </c>
      <c r="B8" t="s">
        <v>17</v>
      </c>
      <c r="C8" s="3">
        <v>48</v>
      </c>
      <c r="D8" s="3">
        <v>11000</v>
      </c>
      <c r="E8" s="3">
        <f>Zakas[[#This Row],[Кол-во]]*Zakas[[#This Row],[Цена]]</f>
        <v>528000</v>
      </c>
    </row>
    <row r="9" spans="1:5" x14ac:dyDescent="0.25">
      <c r="A9" t="s">
        <v>18</v>
      </c>
      <c r="B9" t="s">
        <v>19</v>
      </c>
      <c r="C9" s="3">
        <v>48</v>
      </c>
      <c r="D9" s="3">
        <v>13000</v>
      </c>
      <c r="E9" s="3">
        <f>Zakas[[#This Row],[Кол-во]]*Zakas[[#This Row],[Цена]]</f>
        <v>624000</v>
      </c>
    </row>
    <row r="10" spans="1:5" x14ac:dyDescent="0.25">
      <c r="A10" t="s">
        <v>20</v>
      </c>
      <c r="B10" t="s">
        <v>21</v>
      </c>
      <c r="C10" s="3">
        <v>30</v>
      </c>
      <c r="D10" s="3">
        <v>21000</v>
      </c>
      <c r="E10" s="3">
        <f>Zakas[[#This Row],[Кол-во]]*Zakas[[#This Row],[Цена]]</f>
        <v>630000</v>
      </c>
    </row>
    <row r="11" spans="1:5" x14ac:dyDescent="0.25">
      <c r="A11" t="s">
        <v>22</v>
      </c>
      <c r="B11" t="s">
        <v>23</v>
      </c>
      <c r="C11" s="3">
        <v>24</v>
      </c>
      <c r="D11" s="3">
        <v>11000</v>
      </c>
      <c r="E11" s="3">
        <f>Zakas[[#This Row],[Кол-во]]*Zakas[[#This Row],[Цена]]</f>
        <v>264000</v>
      </c>
    </row>
    <row r="12" spans="1:5" x14ac:dyDescent="0.25">
      <c r="A12" t="s">
        <v>24</v>
      </c>
      <c r="B12" t="s">
        <v>25</v>
      </c>
      <c r="C12" s="3">
        <v>24</v>
      </c>
      <c r="D12" s="3">
        <v>12000</v>
      </c>
      <c r="E12" s="3">
        <f>Zakas[[#This Row],[Кол-во]]*Zakas[[#This Row],[Цена]]</f>
        <v>288000</v>
      </c>
    </row>
    <row r="13" spans="1:5" x14ac:dyDescent="0.25">
      <c r="A13" t="s">
        <v>26</v>
      </c>
      <c r="B13" t="s">
        <v>27</v>
      </c>
      <c r="C13" s="3">
        <v>24</v>
      </c>
      <c r="D13" s="3">
        <v>11000</v>
      </c>
      <c r="E13" s="3">
        <f>Zakas[[#This Row],[Кол-во]]*Zakas[[#This Row],[Цена]]</f>
        <v>264000</v>
      </c>
    </row>
    <row r="14" spans="1:5" x14ac:dyDescent="0.25">
      <c r="A14" t="s">
        <v>28</v>
      </c>
      <c r="B14" t="s">
        <v>29</v>
      </c>
      <c r="C14" s="3">
        <v>24</v>
      </c>
      <c r="D14" s="3">
        <v>11000</v>
      </c>
      <c r="E14" s="3">
        <f>Zakas[[#This Row],[Кол-во]]*Zakas[[#This Row],[Цена]]</f>
        <v>264000</v>
      </c>
    </row>
    <row r="15" spans="1:5" x14ac:dyDescent="0.25">
      <c r="A15" t="s">
        <v>30</v>
      </c>
      <c r="B15" t="s">
        <v>31</v>
      </c>
      <c r="C15" s="3">
        <v>24</v>
      </c>
      <c r="D15" s="3">
        <v>11000</v>
      </c>
      <c r="E15" s="3">
        <f>Zakas[[#This Row],[Кол-во]]*Zakas[[#This Row],[Цена]]</f>
        <v>264000</v>
      </c>
    </row>
    <row r="16" spans="1:5" x14ac:dyDescent="0.25">
      <c r="A16" t="s">
        <v>32</v>
      </c>
      <c r="B16" t="s">
        <v>33</v>
      </c>
      <c r="C16" s="3">
        <v>24</v>
      </c>
      <c r="D16" s="3">
        <v>12000</v>
      </c>
      <c r="E16" s="3">
        <f>Zakas[[#This Row],[Кол-во]]*Zakas[[#This Row],[Цена]]</f>
        <v>288000</v>
      </c>
    </row>
    <row r="17" spans="1:5" x14ac:dyDescent="0.25">
      <c r="A17" t="s">
        <v>34</v>
      </c>
      <c r="B17" t="s">
        <v>35</v>
      </c>
      <c r="C17" s="3">
        <v>24</v>
      </c>
      <c r="D17" s="4">
        <v>20833.33</v>
      </c>
      <c r="E17" s="3">
        <f>Zakas[[#This Row],[Кол-во]]*Zakas[[#This Row],[Цена]]</f>
        <v>499999.92000000004</v>
      </c>
    </row>
    <row r="18" spans="1:5" x14ac:dyDescent="0.25">
      <c r="A18" t="s">
        <v>36</v>
      </c>
      <c r="B18" t="s">
        <v>37</v>
      </c>
      <c r="C18" s="3">
        <v>24</v>
      </c>
      <c r="D18" s="3">
        <v>22000</v>
      </c>
      <c r="E18" s="3">
        <f>Zakas[[#This Row],[Кол-во]]*Zakas[[#This Row],[Цена]]</f>
        <v>528000</v>
      </c>
    </row>
    <row r="19" spans="1:5" x14ac:dyDescent="0.25">
      <c r="A19" t="s">
        <v>38</v>
      </c>
      <c r="B19" t="s">
        <v>39</v>
      </c>
      <c r="C19" s="3">
        <v>24</v>
      </c>
      <c r="D19" s="3">
        <v>15000</v>
      </c>
      <c r="E19" s="3">
        <f>Zakas[[#This Row],[Кол-во]]*Zakas[[#This Row],[Цена]]</f>
        <v>360000</v>
      </c>
    </row>
    <row r="20" spans="1:5" x14ac:dyDescent="0.25">
      <c r="A20" t="s">
        <v>40</v>
      </c>
      <c r="B20" t="s">
        <v>41</v>
      </c>
      <c r="C20" s="3">
        <v>24</v>
      </c>
      <c r="D20" s="3">
        <v>12000</v>
      </c>
      <c r="E20" s="3">
        <f>Zakas[[#This Row],[Кол-во]]*Zakas[[#This Row],[Цена]]</f>
        <v>288000</v>
      </c>
    </row>
    <row r="21" spans="1:5" x14ac:dyDescent="0.25">
      <c r="A21" t="s">
        <v>42</v>
      </c>
      <c r="B21" t="s">
        <v>43</v>
      </c>
      <c r="C21" s="3">
        <v>24</v>
      </c>
      <c r="D21" s="3">
        <v>11500</v>
      </c>
      <c r="E21" s="3">
        <f>Zakas[[#This Row],[Кол-во]]*Zakas[[#This Row],[Цена]]</f>
        <v>276000</v>
      </c>
    </row>
    <row r="22" spans="1:5" x14ac:dyDescent="0.25">
      <c r="A22" t="s">
        <v>44</v>
      </c>
      <c r="B22" t="s">
        <v>45</v>
      </c>
      <c r="C22" s="3">
        <v>12</v>
      </c>
      <c r="D22" s="3">
        <v>35000</v>
      </c>
      <c r="E22" s="3">
        <f>Zakas[[#This Row],[Кол-во]]*Zakas[[#This Row],[Цена]]</f>
        <v>420000</v>
      </c>
    </row>
    <row r="23" spans="1:5" x14ac:dyDescent="0.25">
      <c r="D23" s="5" t="s">
        <v>46</v>
      </c>
      <c r="E23" s="6">
        <f>SUBTOTAL(109,Zakas[Сумма])</f>
        <v>9049999.92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2026-10-17T14:46:18Z</dcterms:created>
  <dcterms:modified xsi:type="dcterms:W3CDTF">2026-10-17T14:46:18Z</dcterms:modified>
</cp:coreProperties>
</file>
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 fullCalcOnLoad="1"/>
</workbook>
</file>

<file path=xl/sharedStrings.xml><?xml version="1.0" encoding="utf-8"?>
<sst xmlns="http://schemas.openxmlformats.org/spreadsheetml/2006/main" count="41" uniqueCount="41">
  <si>
    <t>NDT distribution (18+ montella ice tea)</t>
  </si>
  <si>
    <t>Наименование</t>
  </si>
  <si>
    <t>Штрих код</t>
  </si>
  <si>
    <t>Кол-во</t>
  </si>
  <si>
    <t>Цена</t>
  </si>
  <si>
    <t>Сумма</t>
  </si>
  <si>
    <t>montella gazsiz 330ml</t>
  </si>
  <si>
    <t>4780101733767</t>
  </si>
  <si>
    <t>montella gazsiz 500ml</t>
  </si>
  <si>
    <t>4780101733774</t>
  </si>
  <si>
    <t>qora choy ays shaftoli 500ml</t>
  </si>
  <si>
    <t>4780101732340</t>
  </si>
  <si>
    <t>qora choy ays mango romashka 500ml</t>
  </si>
  <si>
    <t>4780101735556</t>
  </si>
  <si>
    <t>qora choy ays o'rmon meva 500ml</t>
  </si>
  <si>
    <t>4780101733873</t>
  </si>
  <si>
    <t>ko'k choy ays shaftoli 500ml</t>
  </si>
  <si>
    <t>4780101732364</t>
  </si>
  <si>
    <t>sharbat capri-sun safari 200ml</t>
  </si>
  <si>
    <t>4780101735624</t>
  </si>
  <si>
    <t>qora choy ice mango romashka 1,25l</t>
  </si>
  <si>
    <t>4780101735563</t>
  </si>
  <si>
    <t>sharbat capri-sun mystic dragon 200ml</t>
  </si>
  <si>
    <t>4780101735631</t>
  </si>
  <si>
    <t>montella refresh anor 450ml</t>
  </si>
  <si>
    <t>4780101735617</t>
  </si>
  <si>
    <t>energetik ichimlik 18+ gold special edition 450ml</t>
  </si>
  <si>
    <t>4780101734856</t>
  </si>
  <si>
    <t>energetik ichimlik 18+ kaktus 450ml</t>
  </si>
  <si>
    <t>4780101734849</t>
  </si>
  <si>
    <t>ko'k choy ays shaftoli 1,23l</t>
  </si>
  <si>
    <t>4780101732128</t>
  </si>
  <si>
    <t>sharbat capri-sun multivitamin 200ml</t>
  </si>
  <si>
    <t>4780101735648</t>
  </si>
  <si>
    <t>montella daily 10l</t>
  </si>
  <si>
    <t>4780101734764</t>
  </si>
  <si>
    <t>ichimlik tropic mix 500ml</t>
  </si>
  <si>
    <t>4780101733491</t>
  </si>
  <si>
    <t>ichimlik tropic multifrukt 1l</t>
  </si>
  <si>
    <t>4780101733965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</si>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</sst>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Zakas" displayName="Zakas" ref="A2:E20" totalsRowCount="1" headerRowCount="1">
  <autoFilter ref="A2:E19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Наименование" totalsRowLabel=""/>
    <tableColumn id="2" name="Штрих код" totalsRowFunction="none"/>
    <tableColumn id="3" name="Кол-во" totalsRowFunction="none"/>
    <tableColumn id="4" name="Цена" totalsRowFunction="none"/>
    <tableColumn id="5" name="Сумма" totalsRowFunction="sum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1800</v>
      </c>
      <c r="D3" s="3">
        <v>1670</v>
      </c>
      <c r="E3" s="3">
        <f>Zakas[[#This Row],[Кол-во]]*Zakas[[#This Row],[Цена]]</f>
        <v>3006000</v>
      </c>
    </row>
    <row r="4" spans="1:5" x14ac:dyDescent="0.25">
      <c r="A4" t="s">
        <v>8</v>
      </c>
      <c r="B4" t="s">
        <v>9</v>
      </c>
      <c r="C4" s="3">
        <v>600</v>
      </c>
      <c r="D4" s="3">
        <v>2500</v>
      </c>
      <c r="E4" s="3">
        <f>Zakas[[#This Row],[Кол-во]]*Zakas[[#This Row],[Цена]]</f>
        <v>1500000</v>
      </c>
    </row>
    <row r="5" spans="1:5" x14ac:dyDescent="0.25">
      <c r="A5" t="s">
        <v>10</v>
      </c>
      <c r="B5" t="s">
        <v>11</v>
      </c>
      <c r="C5" s="3">
        <v>156</v>
      </c>
      <c r="D5" s="3">
        <v>5000</v>
      </c>
      <c r="E5" s="3">
        <f>Zakas[[#This Row],[Кол-во]]*Zakas[[#This Row],[Цена]]</f>
        <v>780000</v>
      </c>
    </row>
    <row r="6" spans="1:5" x14ac:dyDescent="0.25">
      <c r="A6" t="s">
        <v>12</v>
      </c>
      <c r="B6" t="s">
        <v>13</v>
      </c>
      <c r="C6" s="3">
        <v>144</v>
      </c>
      <c r="D6" s="3">
        <v>5000</v>
      </c>
      <c r="E6" s="3">
        <f>Zakas[[#This Row],[Кол-во]]*Zakas[[#This Row],[Цена]]</f>
        <v>720000</v>
      </c>
    </row>
    <row r="7" spans="1:5" x14ac:dyDescent="0.25">
      <c r="A7" t="s">
        <v>14</v>
      </c>
      <c r="B7" t="s">
        <v>15</v>
      </c>
      <c r="C7" s="3">
        <v>96</v>
      </c>
      <c r="D7" s="3">
        <v>5000</v>
      </c>
      <c r="E7" s="3">
        <f>Zakas[[#This Row],[Кол-во]]*Zakas[[#This Row],[Цена]]</f>
        <v>480000</v>
      </c>
    </row>
    <row r="8" spans="1:5" x14ac:dyDescent="0.25">
      <c r="A8" t="s">
        <v>16</v>
      </c>
      <c r="B8" t="s">
        <v>17</v>
      </c>
      <c r="C8" s="3">
        <v>96</v>
      </c>
      <c r="D8" s="3">
        <v>5000</v>
      </c>
      <c r="E8" s="3">
        <f>Zakas[[#This Row],[Кол-во]]*Zakas[[#This Row],[Цена]]</f>
        <v>480000</v>
      </c>
    </row>
    <row r="9" spans="1:5" x14ac:dyDescent="0.25">
      <c r="A9" t="s">
        <v>18</v>
      </c>
      <c r="B9" t="s">
        <v>19</v>
      </c>
      <c r="C9" s="3">
        <v>80</v>
      </c>
      <c r="D9" s="4">
        <v>4166.67</v>
      </c>
      <c r="E9" s="3">
        <f>Zakas[[#This Row],[Кол-во]]*Zakas[[#This Row],[Цена]]</f>
        <v>333333.6</v>
      </c>
    </row>
    <row r="10" spans="1:5" x14ac:dyDescent="0.25">
      <c r="A10" t="s">
        <v>20</v>
      </c>
      <c r="B10" t="s">
        <v>21</v>
      </c>
      <c r="C10" s="3">
        <v>60</v>
      </c>
      <c r="D10" s="3">
        <v>8333</v>
      </c>
      <c r="E10" s="3">
        <f>Zakas[[#This Row],[Кол-во]]*Zakas[[#This Row],[Цена]]</f>
        <v>499980</v>
      </c>
    </row>
    <row r="11" spans="1:5" x14ac:dyDescent="0.25">
      <c r="A11" t="s">
        <v>22</v>
      </c>
      <c r="B11" t="s">
        <v>23</v>
      </c>
      <c r="C11" s="3">
        <v>60</v>
      </c>
      <c r="D11" s="4">
        <v>4166.67</v>
      </c>
      <c r="E11" s="3">
        <f>Zakas[[#This Row],[Кол-во]]*Zakas[[#This Row],[Цена]]</f>
        <v>250000.2</v>
      </c>
    </row>
    <row r="12" spans="1:5" x14ac:dyDescent="0.25">
      <c r="A12" t="s">
        <v>24</v>
      </c>
      <c r="B12" t="s">
        <v>25</v>
      </c>
      <c r="C12" s="3">
        <v>36</v>
      </c>
      <c r="D12" s="3">
        <v>10000</v>
      </c>
      <c r="E12" s="3">
        <f>Zakas[[#This Row],[Кол-во]]*Zakas[[#This Row],[Цена]]</f>
        <v>360000</v>
      </c>
    </row>
    <row r="13" spans="1:5" x14ac:dyDescent="0.25">
      <c r="A13" t="s">
        <v>26</v>
      </c>
      <c r="B13" t="s">
        <v>27</v>
      </c>
      <c r="C13" s="3">
        <v>36</v>
      </c>
      <c r="D13" s="3">
        <v>10000</v>
      </c>
      <c r="E13" s="3">
        <f>Zakas[[#This Row],[Кол-во]]*Zakas[[#This Row],[Цена]]</f>
        <v>360000</v>
      </c>
    </row>
    <row r="14" spans="1:5" x14ac:dyDescent="0.25">
      <c r="A14" t="s">
        <v>28</v>
      </c>
      <c r="B14" t="s">
        <v>29</v>
      </c>
      <c r="C14" s="3">
        <v>24</v>
      </c>
      <c r="D14" s="3">
        <v>10000</v>
      </c>
      <c r="E14" s="3">
        <f>Zakas[[#This Row],[Кол-во]]*Zakas[[#This Row],[Цена]]</f>
        <v>240000</v>
      </c>
    </row>
    <row r="15" spans="1:5" x14ac:dyDescent="0.25">
      <c r="A15" t="s">
        <v>30</v>
      </c>
      <c r="B15" t="s">
        <v>31</v>
      </c>
      <c r="C15" s="3">
        <v>24</v>
      </c>
      <c r="D15" s="3">
        <v>8333</v>
      </c>
      <c r="E15" s="3">
        <f>Zakas[[#This Row],[Кол-во]]*Zakas[[#This Row],[Цена]]</f>
        <v>199992</v>
      </c>
    </row>
    <row r="16" spans="1:5" x14ac:dyDescent="0.25">
      <c r="A16" t="s">
        <v>32</v>
      </c>
      <c r="B16" t="s">
        <v>33</v>
      </c>
      <c r="C16" s="3">
        <v>20</v>
      </c>
      <c r="D16" s="4">
        <v>4166.68</v>
      </c>
      <c r="E16" s="3">
        <f>Zakas[[#This Row],[Кол-во]]*Zakas[[#This Row],[Цена]]</f>
        <v>83333.6</v>
      </c>
    </row>
    <row r="17" spans="1:5" x14ac:dyDescent="0.25">
      <c r="A17" t="s">
        <v>34</v>
      </c>
      <c r="B17" t="s">
        <v>35</v>
      </c>
      <c r="C17" s="3">
        <v>20</v>
      </c>
      <c r="D17" s="3">
        <v>10000</v>
      </c>
      <c r="E17" s="3">
        <f>Zakas[[#This Row],[Кол-во]]*Zakas[[#This Row],[Цена]]</f>
        <v>200000</v>
      </c>
    </row>
    <row r="18" spans="1:5" x14ac:dyDescent="0.25">
      <c r="A18" t="s">
        <v>36</v>
      </c>
      <c r="B18" t="s">
        <v>37</v>
      </c>
      <c r="C18" s="3">
        <v>16</v>
      </c>
      <c r="D18" s="3">
        <v>5833</v>
      </c>
      <c r="E18" s="3">
        <f>Zakas[[#This Row],[Кол-во]]*Zakas[[#This Row],[Цена]]</f>
        <v>93328</v>
      </c>
    </row>
    <row r="19" spans="1:5" x14ac:dyDescent="0.25">
      <c r="A19" t="s">
        <v>38</v>
      </c>
      <c r="B19" t="s">
        <v>39</v>
      </c>
      <c r="C19" s="3">
        <v>6</v>
      </c>
      <c r="D19" s="3">
        <v>10000</v>
      </c>
      <c r="E19" s="3">
        <f>Zakas[[#This Row],[Кол-во]]*Zakas[[#This Row],[Цена]]</f>
        <v>60000</v>
      </c>
    </row>
    <row r="20" spans="1:5" x14ac:dyDescent="0.25">
      <c r="D20" s="5" t="s">
        <v>40</v>
      </c>
      <c r="E20" s="6">
        <f>SUBTOTAL(109,Zakas[Сумма])</f>
        <v>9645967.4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2026-09-22T06:31:06Z</dcterms:created>
  <dcterms:modified xsi:type="dcterms:W3CDTF">2026-09-22T06:31:06Z</dcterms:modified>
</cp:coreProperties>
</file>
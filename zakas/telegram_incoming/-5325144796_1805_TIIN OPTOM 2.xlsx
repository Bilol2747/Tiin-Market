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D1772EF-B1A9-42E3-BD80-967C9BF406F7}" xr6:coauthVersionLast="47" xr6:coauthVersionMax="47" xr10:uidLastSave="{00000000-0000-0000-0000-000000000000}"/>
  <bookViews>
    <workbookView xWindow="-108" yWindow="-108" windowWidth="23256" windowHeight="12456" xr2:uid="{B0E5661D-A538-4762-ADFB-C6CDCE216913}"/>
  </bookViews>
  <sheets>
    <sheet name="Прайс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5" i="1"/>
  <c r="I11" i="1" l="1"/>
  <c r="A6" i="1"/>
  <c r="A7" i="1" s="1"/>
  <c r="A8" i="1" s="1"/>
</calcChain>
</file>

<file path=xl/sharedStrings.xml><?xml version="1.0" encoding="utf-8"?>
<sst xmlns="http://schemas.openxmlformats.org/spreadsheetml/2006/main" count="38" uniqueCount="23">
  <si>
    <t>№</t>
  </si>
  <si>
    <t>Наименование</t>
  </si>
  <si>
    <t>Страна</t>
  </si>
  <si>
    <t>Корея</t>
  </si>
  <si>
    <t>шт</t>
  </si>
  <si>
    <t>Ед.изм.</t>
  </si>
  <si>
    <t>Производитель</t>
  </si>
  <si>
    <t>DONGBANG B$H CO.LTD</t>
  </si>
  <si>
    <t>ООО "YANA MEDIKA"</t>
  </si>
  <si>
    <t>Цена с учетом НДС</t>
  </si>
  <si>
    <t>100042, Республика Узбекистан, город Ташкент, Учтепинский район, «Дегрез» МФЙ, ул. Генерала Узакова, 62.</t>
  </si>
  <si>
    <t xml:space="preserve">Р/с: 20208000000854704001 в "Ипотека Банк" Сергелийский филиал, МФО: 00978, ОКЭД: 46450, ИНН:305391509, РКП НДС: 326070028841 </t>
  </si>
  <si>
    <t>8809055047419</t>
  </si>
  <si>
    <t>Штрих-код</t>
  </si>
  <si>
    <t>количество</t>
  </si>
  <si>
    <t>Сумма</t>
  </si>
  <si>
    <t>Мыло туалетное OLIVE (Оливки)SOAP Пр ль: DONG BANG B&amp;H CO.LTD, Корея</t>
  </si>
  <si>
    <t>Мыло туалетное CHARCOAL SOAP - Пр-ль: DONG
BANG B&amp;H CO.LTD, Корея</t>
  </si>
  <si>
    <t>Мыло туалетное FOR MAN SOAP (Для мужчин) Пр ль: DONG BANG B&amp;H CO.LTD, Корея</t>
  </si>
  <si>
    <t>Lavendar Soap / Косметическое мыло "Лаванда", 100 г.</t>
  </si>
  <si>
    <t>Мыло туалетное WHITENING SOAP (Отбеливающее) Пр ль: DONG BANG B&amp;H CO.LTD, Корея</t>
  </si>
  <si>
    <t>Стиральное мыло 3D LAUNDRY SOAP (по150грамм/4ш
т) Пр-ль: DONG BANG B&amp;H CO.LTD,Корея</t>
  </si>
  <si>
    <t>8809055047860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</si>
</sst>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rgb="FF00B0F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0" fillId="0" borderId="7" xfId="0" applyNumberFormat="1" applyBorder="1" applyAlignment="1">
      <alignment vertical="center" wrapText="1"/>
    </xf>
    <xf numFmtId="4" fontId="0" fillId="0" borderId="6" xfId="0" applyNumberForma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573649</xdr:colOff>
      <xdr:row>0</xdr:row>
      <xdr:rowOff>0</xdr:rowOff>
    </xdr:from>
    <xdr:ext cx="776751" cy="771525"/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58AF428B-637B-4D9F-B8C2-9DFB6562B7C3}"/>
            </a:ext>
          </a:extLst>
        </xdr:cNvPr>
        <xdr:cNvSpPr/>
      </xdr:nvSpPr>
      <xdr:spPr>
        <a:xfrm>
          <a:off x="573649" y="0"/>
          <a:ext cx="776751" cy="77152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M</a:t>
          </a:r>
          <a:endParaRPr lang="ru-RU" sz="54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oneCellAnchor>
  <xdr:twoCellAnchor editAs="oneCell">
    <xdr:from>
      <xdr:col>1</xdr:col>
      <xdr:colOff>123825</xdr:colOff>
      <xdr:row>0</xdr:row>
      <xdr:rowOff>0</xdr:rowOff>
    </xdr:from>
    <xdr:to>
      <xdr:col>1</xdr:col>
      <xdr:colOff>619125</xdr:colOff>
      <xdr:row>1</xdr:row>
      <xdr:rowOff>295275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7E7DC90-D649-42B0-AFBE-2C9FA3975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902" r="-1554" b="28479"/>
        <a:stretch/>
      </xdr:blipFill>
      <xdr:spPr>
        <a:xfrm>
          <a:off x="714375" y="0"/>
          <a:ext cx="4953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62EE-95F0-472B-AA8B-1BC6234024FA}">
  <sheetPr>
    <pageSetUpPr fitToPage="1"/>
  </sheetPr>
  <dimension ref="A1:I11"/>
  <sheetViews>
    <sheetView tabSelected="1" workbookViewId="0">
      <selection activeCell="C16" sqref="C16"/>
    </sheetView>
  </sheetViews>
  <sheetFormatPr defaultColWidth="8.88671875" defaultRowHeight="14.4" x14ac:dyDescent="0.3"/>
  <cols>
    <col min="1" max="1" width="9.77734375" style="1" bestFit="1" customWidth="1"/>
    <col min="2" max="2" width="47.44140625" style="1" customWidth="1"/>
    <col min="3" max="3" width="18.77734375" style="1" customWidth="1"/>
    <col min="4" max="4" width="21.5546875" style="2" bestFit="1" customWidth="1"/>
    <col min="5" max="5" width="7" style="1" bestFit="1" customWidth="1"/>
    <col min="6" max="6" width="7.5546875" style="1" bestFit="1" customWidth="1"/>
    <col min="7" max="7" width="10.77734375" style="1" bestFit="1" customWidth="1"/>
    <col min="8" max="8" width="10.44140625" style="1" customWidth="1"/>
    <col min="9" max="9" width="18.5546875" style="1" bestFit="1" customWidth="1"/>
    <col min="10" max="10" width="8.88671875" style="1"/>
    <col min="11" max="11" width="34.33203125" style="1" customWidth="1"/>
    <col min="12" max="12" width="18.44140625" style="1" bestFit="1" customWidth="1"/>
    <col min="13" max="13" width="13.6640625" style="1" bestFit="1" customWidth="1"/>
    <col min="14" max="16384" width="8.88671875" style="1"/>
  </cols>
  <sheetData>
    <row r="1" spans="1:9" ht="25.8" x14ac:dyDescent="0.3">
      <c r="A1" s="20" t="s">
        <v>8</v>
      </c>
      <c r="B1" s="20"/>
      <c r="C1" s="20"/>
      <c r="D1" s="20"/>
      <c r="E1" s="20"/>
      <c r="F1" s="20"/>
      <c r="G1" s="20"/>
      <c r="H1" s="20"/>
      <c r="I1" s="20"/>
    </row>
    <row r="2" spans="1:9" ht="33" customHeight="1" x14ac:dyDescent="0.3">
      <c r="A2" s="23" t="s">
        <v>10</v>
      </c>
      <c r="B2" s="23"/>
      <c r="C2" s="23"/>
      <c r="D2" s="23"/>
      <c r="E2" s="23"/>
      <c r="F2" s="23"/>
      <c r="G2" s="23"/>
      <c r="H2" s="23"/>
      <c r="I2" s="23"/>
    </row>
    <row r="3" spans="1:9" ht="15" thickBot="1" x14ac:dyDescent="0.35">
      <c r="A3" s="21" t="s">
        <v>11</v>
      </c>
      <c r="B3" s="21"/>
      <c r="C3" s="21"/>
      <c r="D3" s="21"/>
      <c r="E3" s="22"/>
      <c r="F3" s="22"/>
      <c r="G3" s="22"/>
      <c r="H3" s="22"/>
      <c r="I3" s="22"/>
    </row>
    <row r="4" spans="1:9" ht="42" customHeight="1" thickBot="1" x14ac:dyDescent="0.35">
      <c r="A4" s="4" t="s">
        <v>0</v>
      </c>
      <c r="B4" s="3" t="s">
        <v>1</v>
      </c>
      <c r="C4" s="3" t="s">
        <v>13</v>
      </c>
      <c r="D4" s="3" t="s">
        <v>6</v>
      </c>
      <c r="E4" s="3" t="s">
        <v>2</v>
      </c>
      <c r="F4" s="3" t="s">
        <v>5</v>
      </c>
      <c r="G4" s="3" t="s">
        <v>14</v>
      </c>
      <c r="H4" s="17" t="s">
        <v>9</v>
      </c>
      <c r="I4" s="3" t="s">
        <v>15</v>
      </c>
    </row>
    <row r="5" spans="1:9" s="10" customFormat="1" ht="30" customHeight="1" x14ac:dyDescent="0.3">
      <c r="A5" s="5">
        <v>1</v>
      </c>
      <c r="B5" s="19" t="s">
        <v>18</v>
      </c>
      <c r="C5" s="6">
        <v>8809055047839</v>
      </c>
      <c r="D5" s="7" t="s">
        <v>7</v>
      </c>
      <c r="E5" s="16" t="s">
        <v>3</v>
      </c>
      <c r="F5" s="16" t="s">
        <v>4</v>
      </c>
      <c r="G5" s="8">
        <v>15</v>
      </c>
      <c r="H5" s="8">
        <v>21960</v>
      </c>
      <c r="I5" s="8">
        <f>G5*H5</f>
        <v>329400</v>
      </c>
    </row>
    <row r="6" spans="1:9" s="10" customFormat="1" ht="30" customHeight="1" x14ac:dyDescent="0.3">
      <c r="A6" s="11">
        <f>A5+1</f>
        <v>2</v>
      </c>
      <c r="B6" s="18" t="s">
        <v>19</v>
      </c>
      <c r="C6" s="24">
        <v>8809055042179</v>
      </c>
      <c r="D6" s="12" t="s">
        <v>7</v>
      </c>
      <c r="E6" s="11" t="s">
        <v>3</v>
      </c>
      <c r="F6" s="11" t="s">
        <v>4</v>
      </c>
      <c r="G6" s="8">
        <v>30</v>
      </c>
      <c r="H6" s="9">
        <v>16400</v>
      </c>
      <c r="I6" s="8">
        <f t="shared" ref="I6:I10" si="0">G6*H6</f>
        <v>492000</v>
      </c>
    </row>
    <row r="7" spans="1:9" s="10" customFormat="1" ht="30" customHeight="1" x14ac:dyDescent="0.3">
      <c r="A7" s="11">
        <f t="shared" ref="A7:A8" si="1">A6+1</f>
        <v>3</v>
      </c>
      <c r="B7" s="18" t="s">
        <v>20</v>
      </c>
      <c r="C7" s="24" t="s">
        <v>12</v>
      </c>
      <c r="D7" s="12" t="s">
        <v>7</v>
      </c>
      <c r="E7" s="11" t="s">
        <v>3</v>
      </c>
      <c r="F7" s="11" t="s">
        <v>4</v>
      </c>
      <c r="G7" s="8">
        <v>30</v>
      </c>
      <c r="H7" s="9">
        <v>21960</v>
      </c>
      <c r="I7" s="8">
        <f t="shared" si="0"/>
        <v>658800</v>
      </c>
    </row>
    <row r="8" spans="1:9" s="10" customFormat="1" ht="30" customHeight="1" x14ac:dyDescent="0.3">
      <c r="A8" s="11">
        <f t="shared" si="1"/>
        <v>4</v>
      </c>
      <c r="B8" s="18" t="s">
        <v>21</v>
      </c>
      <c r="C8" s="24" t="s">
        <v>22</v>
      </c>
      <c r="D8" s="12" t="s">
        <v>7</v>
      </c>
      <c r="E8" s="11" t="s">
        <v>3</v>
      </c>
      <c r="F8" s="11" t="s">
        <v>4</v>
      </c>
      <c r="G8" s="8">
        <v>5</v>
      </c>
      <c r="H8" s="9">
        <v>75610</v>
      </c>
      <c r="I8" s="8">
        <f t="shared" si="0"/>
        <v>378050</v>
      </c>
    </row>
    <row r="9" spans="1:9" ht="28.8" x14ac:dyDescent="0.3">
      <c r="A9" s="11">
        <v>8</v>
      </c>
      <c r="B9" s="18" t="s">
        <v>16</v>
      </c>
      <c r="C9" s="6">
        <v>8809055042209</v>
      </c>
      <c r="D9" s="12" t="s">
        <v>7</v>
      </c>
      <c r="E9" s="11" t="s">
        <v>3</v>
      </c>
      <c r="F9" s="11" t="s">
        <v>4</v>
      </c>
      <c r="G9" s="8">
        <v>30</v>
      </c>
      <c r="H9" s="9">
        <v>16400</v>
      </c>
      <c r="I9" s="8">
        <f t="shared" si="0"/>
        <v>492000</v>
      </c>
    </row>
    <row r="10" spans="1:9" ht="29.4" thickBot="1" x14ac:dyDescent="0.35">
      <c r="A10" s="13">
        <v>9</v>
      </c>
      <c r="B10" s="18" t="s">
        <v>17</v>
      </c>
      <c r="C10" s="14">
        <v>8809055042117</v>
      </c>
      <c r="D10" s="12" t="s">
        <v>7</v>
      </c>
      <c r="E10" s="11" t="s">
        <v>3</v>
      </c>
      <c r="F10" s="11" t="s">
        <v>4</v>
      </c>
      <c r="G10" s="8">
        <v>10</v>
      </c>
      <c r="H10" s="15">
        <v>19800</v>
      </c>
      <c r="I10" s="8">
        <f t="shared" si="0"/>
        <v>198000</v>
      </c>
    </row>
    <row r="11" spans="1:9" x14ac:dyDescent="0.3">
      <c r="I11" s="1">
        <f>SUM(I5:I10)</f>
        <v>2548250</v>
      </c>
    </row>
  </sheetData>
  <mergeCells count="3">
    <mergeCell ref="A1:I1"/>
    <mergeCell ref="A3:I3"/>
    <mergeCell ref="A2:I2"/>
  </mergeCells>
  <printOptions horizontalCentered="1"/>
  <pageMargins left="0.31496062992125984" right="0.31496062992125984" top="0.15748031496062992" bottom="0.35433070866141736" header="0.11811023622047245" footer="0.11811023622047245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2025-04-21T13:05:22Z</cp:lastPrinted>
  <dcterms:created xsi:type="dcterms:W3CDTF">2023-05-03T04:40:08Z</dcterms:created>
  <dcterms:modified xsi:type="dcterms:W3CDTF">2026-09-07T13:57:32Z</dcterms:modified>
</cp:coreProperties>
</file>
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7E035CCF-1965-433B-9238-F34004D0D0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ка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2" i="1" l="1"/>
</calcChain>
</file>

<file path=xl/sharedStrings.xml><?xml version="1.0" encoding="utf-8"?>
<sst xmlns="http://schemas.openxmlformats.org/spreadsheetml/2006/main" count="45" uniqueCount="45">
  <si>
    <t>''SMART GLOBAL DISTRIBUTION'' MCHJ (№215 от 14.01.2022г) (Chernogolovka Rich Dobriy)</t>
  </si>
  <si>
    <t>Наименование</t>
  </si>
  <si>
    <t>Штрих код</t>
  </si>
  <si>
    <t>Кол-во</t>
  </si>
  <si>
    <t>Цена</t>
  </si>
  <si>
    <t>Сумма</t>
  </si>
  <si>
    <t>gazli suv chortoq (butilka)250ml</t>
  </si>
  <si>
    <t>4780051070158</t>
  </si>
  <si>
    <t>suv chortoq gazlangan 500ml стекло</t>
  </si>
  <si>
    <t>4780051070011</t>
  </si>
  <si>
    <t>suv chortoq gazli 330ml</t>
  </si>
  <si>
    <t>4780051070066</t>
  </si>
  <si>
    <t>mineral gazli suv chortoq 1l</t>
  </si>
  <si>
    <t>4780051070431</t>
  </si>
  <si>
    <t>suv chortoq gazlangan (bak) 500ml</t>
  </si>
  <si>
    <t>4780051070905</t>
  </si>
  <si>
    <t>gazli suv chortoq butilka 500ml</t>
  </si>
  <si>
    <t>4780051070899</t>
  </si>
  <si>
    <t>gazsiz suvchortoq 1.5l</t>
  </si>
  <si>
    <t>4780051070448</t>
  </si>
  <si>
    <t>suv chortoq rayxon 330ml</t>
  </si>
  <si>
    <t>4780051070691</t>
  </si>
  <si>
    <t>suv chortoq limon yalpiz 330ml</t>
  </si>
  <si>
    <t>4780051070134</t>
  </si>
  <si>
    <t>suv chortoq gazsiz (shisha)330ml</t>
  </si>
  <si>
    <t>4780051070325</t>
  </si>
  <si>
    <t>suv chortoq laym 330ml</t>
  </si>
  <si>
    <t>4780051070110</t>
  </si>
  <si>
    <t>gazli suv chortoq 1l</t>
  </si>
  <si>
    <t>4780051070639</t>
  </si>
  <si>
    <t>suv chortoq gazsiz (shisha) 500ml</t>
  </si>
  <si>
    <t>4780051070349</t>
  </si>
  <si>
    <t>suv chortoq limon 330ml</t>
  </si>
  <si>
    <t>4780051070127</t>
  </si>
  <si>
    <t>напиток черноголовка тархун 500мл</t>
  </si>
  <si>
    <t>4780049961154</t>
  </si>
  <si>
    <t>pyure бейби mevali salat 85gr</t>
  </si>
  <si>
    <t>4602441019168</t>
  </si>
  <si>
    <t>ichimlik черноголовка dyushes 1.5l</t>
  </si>
  <si>
    <t>4780111553447</t>
  </si>
  <si>
    <t>gazsiz suv chortoq 1l</t>
  </si>
  <si>
    <t>4780051070417</t>
  </si>
  <si>
    <t>ichimlik черноголовка dyushes 2l</t>
  </si>
  <si>
    <t>4780111553454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</si>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</sst>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akas" displayName="Zakas" ref="A2:E22" totalsRowCount="1">
  <autoFilter ref="A2:E2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Наименование"/>
    <tableColumn id="2" xr3:uid="{00000000-0010-0000-0000-000002000000}" name="Штрих код"/>
    <tableColumn id="3" xr3:uid="{00000000-0010-0000-0000-000003000000}" name="Кол-во"/>
    <tableColumn id="4" xr3:uid="{00000000-0010-0000-0000-000004000000}" name="Цена" totalsRowLabel="ИТОГО" totalsRowDxfId="1"/>
    <tableColumn id="5" xr3:uid="{00000000-0010-0000-0000-000005000000}" name="Сумма" totalsRowFunction="sum" totalsRowDxfId="0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H14" sqref="H14"/>
    </sheetView>
  </sheetViews>
  <sheetFormatPr defaultRowHeight="14.4" x14ac:dyDescent="0.3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ht="15.6" x14ac:dyDescent="0.3">
      <c r="A1" s="6" t="s">
        <v>0</v>
      </c>
      <c r="B1" s="6"/>
      <c r="C1" s="6"/>
      <c r="D1" s="6"/>
      <c r="E1" s="6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t="s">
        <v>6</v>
      </c>
      <c r="B3" t="s">
        <v>7</v>
      </c>
      <c r="C3" s="2">
        <v>480</v>
      </c>
      <c r="D3" s="3">
        <v>5260.51</v>
      </c>
      <c r="E3" s="2">
        <f>Zakas[[#This Row],[Кол-во]]*Zakas[[#This Row],[Цена]]</f>
        <v>2525044.8000000003</v>
      </c>
    </row>
    <row r="4" spans="1:5" x14ac:dyDescent="0.3">
      <c r="A4" t="s">
        <v>8</v>
      </c>
      <c r="B4" t="s">
        <v>9</v>
      </c>
      <c r="C4" s="2">
        <v>480</v>
      </c>
      <c r="D4" s="3">
        <v>9002.7000000000007</v>
      </c>
      <c r="E4" s="2">
        <f>Zakas[[#This Row],[Кол-во]]*Zakas[[#This Row],[Цена]]</f>
        <v>4321296</v>
      </c>
    </row>
    <row r="5" spans="1:5" x14ac:dyDescent="0.3">
      <c r="A5" t="s">
        <v>10</v>
      </c>
      <c r="B5" t="s">
        <v>11</v>
      </c>
      <c r="C5" s="2">
        <v>420</v>
      </c>
      <c r="D5" s="3">
        <v>6753.6</v>
      </c>
      <c r="E5" s="2">
        <f>Zakas[[#This Row],[Кол-во]]*Zakas[[#This Row],[Цена]]</f>
        <v>2836512</v>
      </c>
    </row>
    <row r="6" spans="1:5" x14ac:dyDescent="0.3">
      <c r="A6" t="s">
        <v>12</v>
      </c>
      <c r="B6" t="s">
        <v>13</v>
      </c>
      <c r="C6" s="2">
        <v>120</v>
      </c>
      <c r="D6" s="2">
        <v>9170</v>
      </c>
      <c r="E6" s="2">
        <f>Zakas[[#This Row],[Кол-во]]*Zakas[[#This Row],[Цена]]</f>
        <v>1100400</v>
      </c>
    </row>
    <row r="7" spans="1:5" x14ac:dyDescent="0.3">
      <c r="A7" t="s">
        <v>14</v>
      </c>
      <c r="B7" t="s">
        <v>15</v>
      </c>
      <c r="C7" s="2">
        <v>120</v>
      </c>
      <c r="D7" s="3">
        <v>2998.8</v>
      </c>
      <c r="E7" s="2">
        <f>Zakas[[#This Row],[Кол-во]]*Zakas[[#This Row],[Цена]]</f>
        <v>359856</v>
      </c>
    </row>
    <row r="8" spans="1:5" x14ac:dyDescent="0.3">
      <c r="A8" t="s">
        <v>16</v>
      </c>
      <c r="B8" t="s">
        <v>17</v>
      </c>
      <c r="C8" s="2">
        <v>120</v>
      </c>
      <c r="D8" s="3">
        <v>4498.2</v>
      </c>
      <c r="E8" s="2">
        <f>Zakas[[#This Row],[Кол-во]]*Zakas[[#This Row],[Цена]]</f>
        <v>539784</v>
      </c>
    </row>
    <row r="9" spans="1:5" x14ac:dyDescent="0.3">
      <c r="A9" t="s">
        <v>18</v>
      </c>
      <c r="B9" t="s">
        <v>19</v>
      </c>
      <c r="C9" s="2">
        <v>72</v>
      </c>
      <c r="D9" s="2">
        <v>11669</v>
      </c>
      <c r="E9" s="2">
        <f>Zakas[[#This Row],[Кол-во]]*Zakas[[#This Row],[Цена]]</f>
        <v>840168</v>
      </c>
    </row>
    <row r="10" spans="1:5" x14ac:dyDescent="0.3">
      <c r="A10" t="s">
        <v>20</v>
      </c>
      <c r="B10" t="s">
        <v>21</v>
      </c>
      <c r="C10" s="2">
        <v>48</v>
      </c>
      <c r="D10" s="3">
        <v>6753.58</v>
      </c>
      <c r="E10" s="2">
        <f>Zakas[[#This Row],[Кол-во]]*Zakas[[#This Row],[Цена]]</f>
        <v>324171.83999999997</v>
      </c>
    </row>
    <row r="11" spans="1:5" x14ac:dyDescent="0.3">
      <c r="A11" t="s">
        <v>22</v>
      </c>
      <c r="B11" t="s">
        <v>23</v>
      </c>
      <c r="C11" s="2">
        <v>48</v>
      </c>
      <c r="D11" s="3">
        <v>6753.61</v>
      </c>
      <c r="E11" s="2">
        <f>Zakas[[#This Row],[Кол-во]]*Zakas[[#This Row],[Цена]]</f>
        <v>324173.27999999997</v>
      </c>
    </row>
    <row r="12" spans="1:5" x14ac:dyDescent="0.3">
      <c r="A12" t="s">
        <v>24</v>
      </c>
      <c r="B12" t="s">
        <v>25</v>
      </c>
      <c r="C12" s="2">
        <v>48</v>
      </c>
      <c r="D12" s="2">
        <v>5985</v>
      </c>
      <c r="E12" s="2">
        <f>Zakas[[#This Row],[Кол-во]]*Zakas[[#This Row],[Цена]]</f>
        <v>287280</v>
      </c>
    </row>
    <row r="13" spans="1:5" x14ac:dyDescent="0.3">
      <c r="A13" t="s">
        <v>26</v>
      </c>
      <c r="B13" t="s">
        <v>27</v>
      </c>
      <c r="C13" s="2">
        <v>48</v>
      </c>
      <c r="D13" s="3">
        <v>6753.58</v>
      </c>
      <c r="E13" s="2">
        <f>Zakas[[#This Row],[Кол-во]]*Zakas[[#This Row],[Цена]]</f>
        <v>324171.83999999997</v>
      </c>
    </row>
    <row r="14" spans="1:5" x14ac:dyDescent="0.3">
      <c r="A14" t="s">
        <v>28</v>
      </c>
      <c r="B14" t="s">
        <v>29</v>
      </c>
      <c r="C14" s="2">
        <v>42</v>
      </c>
      <c r="D14" s="3">
        <v>3748.51</v>
      </c>
      <c r="E14" s="2">
        <f>Zakas[[#This Row],[Кол-во]]*Zakas[[#This Row],[Цена]]</f>
        <v>157437.42000000001</v>
      </c>
    </row>
    <row r="15" spans="1:5" x14ac:dyDescent="0.3">
      <c r="A15" t="s">
        <v>30</v>
      </c>
      <c r="B15" t="s">
        <v>31</v>
      </c>
      <c r="C15" s="2">
        <v>36</v>
      </c>
      <c r="D15" s="3">
        <v>9002.7099999999991</v>
      </c>
      <c r="E15" s="2">
        <f>Zakas[[#This Row],[Кол-во]]*Zakas[[#This Row],[Цена]]</f>
        <v>324097.55999999994</v>
      </c>
    </row>
    <row r="16" spans="1:5" x14ac:dyDescent="0.3">
      <c r="A16" t="s">
        <v>32</v>
      </c>
      <c r="B16" t="s">
        <v>33</v>
      </c>
      <c r="C16" s="2">
        <v>36</v>
      </c>
      <c r="D16" s="3">
        <v>6753.6</v>
      </c>
      <c r="E16" s="2">
        <f>Zakas[[#This Row],[Кол-во]]*Zakas[[#This Row],[Цена]]</f>
        <v>243129.60000000001</v>
      </c>
    </row>
    <row r="17" spans="1:5" x14ac:dyDescent="0.3">
      <c r="A17" t="s">
        <v>34</v>
      </c>
      <c r="B17" t="s">
        <v>35</v>
      </c>
      <c r="C17" s="2">
        <v>24</v>
      </c>
      <c r="D17" s="3">
        <v>4166.67</v>
      </c>
      <c r="E17" s="2">
        <f>Zakas[[#This Row],[Кол-во]]*Zakas[[#This Row],[Цена]]</f>
        <v>100000.08</v>
      </c>
    </row>
    <row r="18" spans="1:5" x14ac:dyDescent="0.3">
      <c r="A18" t="s">
        <v>36</v>
      </c>
      <c r="B18" t="s">
        <v>37</v>
      </c>
      <c r="C18" s="2">
        <v>24</v>
      </c>
      <c r="D18" s="3">
        <v>6666.67</v>
      </c>
      <c r="E18" s="2">
        <f>Zakas[[#This Row],[Кол-во]]*Zakas[[#This Row],[Цена]]</f>
        <v>160000.08000000002</v>
      </c>
    </row>
    <row r="19" spans="1:5" x14ac:dyDescent="0.3">
      <c r="A19" t="s">
        <v>38</v>
      </c>
      <c r="B19" t="s">
        <v>39</v>
      </c>
      <c r="C19" s="2">
        <v>24</v>
      </c>
      <c r="D19" s="3">
        <v>8333.2800000000007</v>
      </c>
      <c r="E19" s="2">
        <f>Zakas[[#This Row],[Кол-во]]*Zakas[[#This Row],[Цена]]</f>
        <v>199998.72000000003</v>
      </c>
    </row>
    <row r="20" spans="1:5" x14ac:dyDescent="0.3">
      <c r="A20" t="s">
        <v>40</v>
      </c>
      <c r="B20" t="s">
        <v>41</v>
      </c>
      <c r="C20" s="2">
        <v>24</v>
      </c>
      <c r="D20" s="3">
        <v>3748.5</v>
      </c>
      <c r="E20" s="2">
        <f>Zakas[[#This Row],[Кол-во]]*Zakas[[#This Row],[Цена]]</f>
        <v>89964</v>
      </c>
    </row>
    <row r="21" spans="1:5" x14ac:dyDescent="0.3">
      <c r="A21" t="s">
        <v>42</v>
      </c>
      <c r="B21" t="s">
        <v>43</v>
      </c>
      <c r="C21" s="2">
        <v>12</v>
      </c>
      <c r="D21" s="3">
        <v>10833.29</v>
      </c>
      <c r="E21" s="2">
        <f>Zakas[[#This Row],[Кол-во]]*Zakas[[#This Row],[Цена]]</f>
        <v>129999.48000000001</v>
      </c>
    </row>
    <row r="22" spans="1:5" x14ac:dyDescent="0.3">
      <c r="D22" s="4" t="s">
        <v>44</v>
      </c>
      <c r="E22" s="5">
        <f>SUBTOTAL(109,Zakas[Сумма])</f>
        <v>15187484.700000001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2026-10-21T10:11:06Z</dcterms:created>
  <dcterms:modified xsi:type="dcterms:W3CDTF">2026-10-21T10:13:31Z</dcterms:modified>
  <cp:category/>
</cp:coreProperties>
</file>
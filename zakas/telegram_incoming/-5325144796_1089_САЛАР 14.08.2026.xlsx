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1A8007-6CBB-4C0A-9D58-F33211077F11}" xr6:coauthVersionLast="45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ХЛЕБЦЫ" sheetId="1423" r:id="rId1"/>
  </sheets>
  <definedNames>
    <definedName name="_xlnm._FilterDatabase" localSheetId="0" hidden="1">ХЛЕБЦЫ!$B$7:$I$729</definedName>
    <definedName name="ОКТЯБРЬ" localSheetId="0">#REF!</definedName>
    <definedName name="ОКТЯБР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1423" l="1"/>
  <c r="H30" i="1423"/>
  <c r="H150" i="1423" l="1"/>
  <c r="H147" i="1423"/>
  <c r="H148" i="1423"/>
  <c r="H149" i="1423"/>
  <c r="H151" i="1423"/>
  <c r="H249" i="1423" l="1"/>
  <c r="H248" i="1423" l="1"/>
  <c r="H129" i="1423" l="1"/>
  <c r="H138" i="1423" l="1"/>
  <c r="H76" i="1423" l="1"/>
  <c r="H171" i="1423" l="1"/>
  <c r="H172" i="1423"/>
  <c r="H173" i="1423"/>
  <c r="H174" i="1423"/>
  <c r="H155" i="1423" l="1"/>
  <c r="H156" i="1423"/>
  <c r="H166" i="1423"/>
  <c r="H140" i="1423"/>
  <c r="H141" i="1423"/>
  <c r="H142" i="1423"/>
  <c r="H214" i="1423" l="1"/>
  <c r="H130" i="1423" l="1"/>
  <c r="H131" i="1423"/>
  <c r="H226" i="1423" l="1"/>
  <c r="H212" i="1423" l="1"/>
  <c r="H213" i="1423"/>
  <c r="H215" i="1423"/>
  <c r="H161" i="1423"/>
  <c r="H162" i="1423"/>
  <c r="H132" i="1423"/>
  <c r="H133" i="1423"/>
  <c r="H211" i="1423" l="1"/>
  <c r="H205" i="1423" l="1"/>
  <c r="H711" i="1423" l="1"/>
  <c r="H712" i="1423"/>
  <c r="H713" i="1423"/>
  <c r="H114" i="1423" l="1"/>
  <c r="H210" i="1423" l="1"/>
  <c r="H222" i="1423" l="1"/>
  <c r="H223" i="1423"/>
  <c r="H186" i="1423" l="1"/>
  <c r="H123" i="1423" l="1"/>
  <c r="H219" i="1423" l="1"/>
  <c r="H145" i="1423"/>
  <c r="H146" i="1423"/>
  <c r="H189" i="1423" l="1"/>
  <c r="H204" i="1423" l="1"/>
  <c r="H179" i="1423" l="1"/>
  <c r="H180" i="1423"/>
  <c r="H181" i="1423"/>
  <c r="H144" i="1423" l="1"/>
  <c r="B7" i="1423" l="1"/>
  <c r="H154" i="1423"/>
  <c r="H230" i="1423"/>
  <c r="H225" i="1423"/>
  <c r="H224" i="1423"/>
  <c r="H178" i="1423"/>
  <c r="H217" i="1423"/>
  <c r="H218" i="1423"/>
  <c r="H185" i="1423" l="1"/>
  <c r="H221" i="1423" l="1"/>
  <c r="H220" i="1423"/>
  <c r="H198" i="1423"/>
  <c r="H187" i="1423"/>
  <c r="H184" i="1423" l="1"/>
  <c r="H175" i="1423" l="1"/>
  <c r="H176" i="1423"/>
  <c r="H177" i="1423"/>
  <c r="H196" i="1423" l="1"/>
  <c r="H197" i="1423"/>
  <c r="H199" i="1423"/>
  <c r="H200" i="1423"/>
  <c r="H201" i="1423"/>
  <c r="H202" i="1423"/>
  <c r="H203" i="1423"/>
  <c r="H206" i="1423"/>
  <c r="H207" i="1423"/>
  <c r="H208" i="1423"/>
  <c r="H209" i="1423"/>
  <c r="H216" i="1423"/>
  <c r="H227" i="1423"/>
  <c r="H228" i="1423"/>
  <c r="H229" i="1423"/>
  <c r="H231" i="1423"/>
  <c r="H232" i="1423"/>
  <c r="H233" i="1423"/>
  <c r="H234" i="1423"/>
  <c r="H143" i="1423" l="1"/>
  <c r="H152" i="1423"/>
  <c r="H153" i="1423"/>
  <c r="H157" i="1423"/>
  <c r="H158" i="1423"/>
  <c r="H159" i="1423"/>
  <c r="H160" i="1423"/>
  <c r="H163" i="1423"/>
  <c r="H164" i="1423"/>
  <c r="H165" i="1423"/>
  <c r="H237" i="1423" l="1"/>
  <c r="H236" i="1423"/>
  <c r="H235" i="1423"/>
  <c r="H195" i="1423"/>
  <c r="H194" i="1423"/>
  <c r="H193" i="1423"/>
  <c r="H192" i="1423"/>
  <c r="H191" i="1423"/>
  <c r="H190" i="1423"/>
  <c r="H188" i="1423"/>
  <c r="H183" i="1423"/>
  <c r="H182" i="1423"/>
  <c r="H170" i="1423"/>
  <c r="H169" i="1423"/>
  <c r="H168" i="1423"/>
  <c r="H167" i="1423"/>
  <c r="H139" i="1423"/>
  <c r="H137" i="1423"/>
  <c r="H136" i="1423"/>
  <c r="H135" i="1423"/>
  <c r="H134" i="1423"/>
  <c r="H128" i="1423"/>
  <c r="H127" i="1423"/>
  <c r="H126" i="1423"/>
  <c r="H125" i="1423"/>
  <c r="H124" i="1423"/>
  <c r="H122" i="1423"/>
  <c r="H121" i="1423"/>
  <c r="H120" i="1423"/>
  <c r="H119" i="1423"/>
  <c r="H118" i="1423"/>
  <c r="H117" i="1423"/>
  <c r="H116" i="1423"/>
  <c r="F731" i="1423" l="1"/>
  <c r="H729" i="1423"/>
  <c r="H728" i="1423"/>
  <c r="H727" i="1423"/>
  <c r="H726" i="1423"/>
  <c r="H725" i="1423"/>
  <c r="H724" i="1423"/>
  <c r="H723" i="1423"/>
  <c r="H722" i="1423"/>
  <c r="H721" i="1423"/>
  <c r="H720" i="1423"/>
  <c r="H719" i="1423"/>
  <c r="H718" i="1423"/>
  <c r="H717" i="1423"/>
  <c r="H716" i="1423"/>
  <c r="H715" i="1423"/>
  <c r="H714" i="1423"/>
  <c r="H710" i="1423"/>
  <c r="H709" i="1423"/>
  <c r="H708" i="1423"/>
  <c r="H707" i="1423"/>
  <c r="H706" i="1423"/>
  <c r="H705" i="1423"/>
  <c r="H704" i="1423"/>
  <c r="H703" i="1423"/>
  <c r="H702" i="1423"/>
  <c r="H701" i="1423"/>
  <c r="H700" i="1423"/>
  <c r="H699" i="1423"/>
  <c r="H698" i="1423"/>
  <c r="H697" i="1423"/>
  <c r="H696" i="1423"/>
  <c r="H695" i="1423"/>
  <c r="H694" i="1423"/>
  <c r="H693" i="1423"/>
  <c r="H692" i="1423"/>
  <c r="H691" i="1423"/>
  <c r="H690" i="1423"/>
  <c r="H689" i="1423"/>
  <c r="H688" i="1423"/>
  <c r="H687" i="1423"/>
  <c r="H686" i="1423"/>
  <c r="H685" i="1423"/>
  <c r="H684" i="1423"/>
  <c r="H683" i="1423"/>
  <c r="H682" i="1423"/>
  <c r="H681" i="1423"/>
  <c r="H680" i="1423"/>
  <c r="H679" i="1423"/>
  <c r="H678" i="1423"/>
  <c r="H677" i="1423"/>
  <c r="H676" i="1423"/>
  <c r="H675" i="1423"/>
  <c r="H674" i="1423"/>
  <c r="H673" i="1423"/>
  <c r="H672" i="1423"/>
  <c r="H671" i="1423"/>
  <c r="H670" i="1423"/>
  <c r="H669" i="1423"/>
  <c r="H668" i="1423"/>
  <c r="H667" i="1423"/>
  <c r="H666" i="1423"/>
  <c r="H665" i="1423"/>
  <c r="H664" i="1423"/>
  <c r="H663" i="1423"/>
  <c r="H662" i="1423"/>
  <c r="H661" i="1423"/>
  <c r="H660" i="1423"/>
  <c r="H659" i="1423"/>
  <c r="H658" i="1423"/>
  <c r="H657" i="1423"/>
  <c r="H656" i="1423"/>
  <c r="H655" i="1423"/>
  <c r="H654" i="1423"/>
  <c r="H653" i="1423"/>
  <c r="H652" i="1423"/>
  <c r="H651" i="1423"/>
  <c r="H650" i="1423"/>
  <c r="H649" i="1423"/>
  <c r="H648" i="1423"/>
  <c r="H647" i="1423"/>
  <c r="H646" i="1423"/>
  <c r="H645" i="1423"/>
  <c r="H644" i="1423"/>
  <c r="H643" i="1423"/>
  <c r="H642" i="1423"/>
  <c r="H641" i="1423"/>
  <c r="H639" i="1423"/>
  <c r="H638" i="1423"/>
  <c r="H637" i="1423"/>
  <c r="H636" i="1423"/>
  <c r="H635" i="1423"/>
  <c r="H634" i="1423"/>
  <c r="H633" i="1423"/>
  <c r="H632" i="1423"/>
  <c r="H631" i="1423"/>
  <c r="H630" i="1423"/>
  <c r="H629" i="1423"/>
  <c r="H628" i="1423"/>
  <c r="H627" i="1423"/>
  <c r="H626" i="1423"/>
  <c r="H625" i="1423"/>
  <c r="H624" i="1423"/>
  <c r="H623" i="1423"/>
  <c r="H622" i="1423"/>
  <c r="H621" i="1423"/>
  <c r="H620" i="1423"/>
  <c r="H619" i="1423"/>
  <c r="H618" i="1423"/>
  <c r="H617" i="1423"/>
  <c r="H616" i="1423"/>
  <c r="H615" i="1423"/>
  <c r="H614" i="1423"/>
  <c r="H613" i="1423"/>
  <c r="H612" i="1423"/>
  <c r="H611" i="1423"/>
  <c r="H610" i="1423"/>
  <c r="H609" i="1423"/>
  <c r="H608" i="1423"/>
  <c r="H607" i="1423"/>
  <c r="H606" i="1423"/>
  <c r="H605" i="1423"/>
  <c r="H604" i="1423"/>
  <c r="H603" i="1423"/>
  <c r="H602" i="1423"/>
  <c r="H601" i="1423"/>
  <c r="H600" i="1423"/>
  <c r="H599" i="1423"/>
  <c r="H598" i="1423"/>
  <c r="H597" i="1423"/>
  <c r="H596" i="1423"/>
  <c r="H595" i="1423"/>
  <c r="H594" i="1423"/>
  <c r="H593" i="1423"/>
  <c r="H592" i="1423"/>
  <c r="H591" i="1423"/>
  <c r="H590" i="1423"/>
  <c r="H589" i="1423"/>
  <c r="H588" i="1423"/>
  <c r="H587" i="1423"/>
  <c r="H586" i="1423"/>
  <c r="H585" i="1423"/>
  <c r="H584" i="1423"/>
  <c r="H583" i="1423"/>
  <c r="H582" i="1423"/>
  <c r="H581" i="1423"/>
  <c r="H580" i="1423"/>
  <c r="H579" i="1423"/>
  <c r="H578" i="1423"/>
  <c r="H577" i="1423"/>
  <c r="H576" i="1423"/>
  <c r="H575" i="1423"/>
  <c r="H574" i="1423"/>
  <c r="H573" i="1423"/>
  <c r="H572" i="1423"/>
  <c r="H571" i="1423"/>
  <c r="H570" i="1423"/>
  <c r="H569" i="1423"/>
  <c r="H568" i="1423"/>
  <c r="H567" i="1423"/>
  <c r="H566" i="1423"/>
  <c r="H565" i="1423"/>
  <c r="H564" i="1423"/>
  <c r="H563" i="1423"/>
  <c r="H562" i="1423"/>
  <c r="H561" i="1423"/>
  <c r="H560" i="1423"/>
  <c r="H559" i="1423"/>
  <c r="H558" i="1423"/>
  <c r="H557" i="1423"/>
  <c r="H556" i="1423"/>
  <c r="H555" i="1423"/>
  <c r="H554" i="1423"/>
  <c r="H553" i="1423"/>
  <c r="H552" i="1423"/>
  <c r="H551" i="1423"/>
  <c r="H550" i="1423"/>
  <c r="H549" i="1423"/>
  <c r="H548" i="1423"/>
  <c r="H547" i="1423"/>
  <c r="H546" i="1423"/>
  <c r="H545" i="1423"/>
  <c r="H544" i="1423"/>
  <c r="H543" i="1423"/>
  <c r="H542" i="1423"/>
  <c r="H541" i="1423"/>
  <c r="H540" i="1423"/>
  <c r="H539" i="1423"/>
  <c r="H538" i="1423"/>
  <c r="H537" i="1423"/>
  <c r="H536" i="1423"/>
  <c r="H535" i="1423"/>
  <c r="H534" i="1423"/>
  <c r="H533" i="1423"/>
  <c r="H532" i="1423"/>
  <c r="H531" i="1423"/>
  <c r="H530" i="1423"/>
  <c r="H529" i="1423"/>
  <c r="H528" i="1423"/>
  <c r="H527" i="1423"/>
  <c r="H526" i="1423"/>
  <c r="H525" i="1423"/>
  <c r="H524" i="1423"/>
  <c r="H523" i="1423"/>
  <c r="H522" i="1423"/>
  <c r="H521" i="1423"/>
  <c r="H520" i="1423"/>
  <c r="H519" i="1423"/>
  <c r="H518" i="1423"/>
  <c r="H517" i="1423"/>
  <c r="H516" i="1423"/>
  <c r="H515" i="1423"/>
  <c r="H514" i="1423"/>
  <c r="H513" i="1423"/>
  <c r="H512" i="1423"/>
  <c r="H511" i="1423"/>
  <c r="H510" i="1423"/>
  <c r="H509" i="1423"/>
  <c r="H508" i="1423"/>
  <c r="H507" i="1423"/>
  <c r="H506" i="1423"/>
  <c r="H505" i="1423"/>
  <c r="H504" i="1423"/>
  <c r="H503" i="1423"/>
  <c r="H502" i="1423"/>
  <c r="H501" i="1423"/>
  <c r="H500" i="1423"/>
  <c r="H499" i="1423"/>
  <c r="H498" i="1423"/>
  <c r="H497" i="1423"/>
  <c r="H496" i="1423"/>
  <c r="H495" i="1423"/>
  <c r="H494" i="1423"/>
  <c r="H493" i="1423"/>
  <c r="H492" i="1423"/>
  <c r="H491" i="1423"/>
  <c r="H490" i="1423"/>
  <c r="H489" i="1423"/>
  <c r="H488" i="1423"/>
  <c r="H487" i="1423"/>
  <c r="H486" i="1423"/>
  <c r="H485" i="1423"/>
  <c r="H484" i="1423"/>
  <c r="H483" i="1423"/>
  <c r="H482" i="1423"/>
  <c r="H481" i="1423"/>
  <c r="H480" i="1423"/>
  <c r="H479" i="1423"/>
  <c r="H478" i="1423"/>
  <c r="H477" i="1423"/>
  <c r="H476" i="1423"/>
  <c r="H475" i="1423"/>
  <c r="H474" i="1423"/>
  <c r="H473" i="1423"/>
  <c r="H472" i="1423"/>
  <c r="H471" i="1423"/>
  <c r="H470" i="1423"/>
  <c r="H469" i="1423"/>
  <c r="H468" i="1423"/>
  <c r="H467" i="1423"/>
  <c r="H466" i="1423"/>
  <c r="H465" i="1423"/>
  <c r="H464" i="1423"/>
  <c r="H463" i="1423"/>
  <c r="H462" i="1423"/>
  <c r="H461" i="1423"/>
  <c r="H460" i="1423"/>
  <c r="H459" i="1423"/>
  <c r="H458" i="1423"/>
  <c r="H457" i="1423"/>
  <c r="H456" i="1423"/>
  <c r="H455" i="1423"/>
  <c r="H454" i="1423"/>
  <c r="H453" i="1423"/>
  <c r="H452" i="1423"/>
  <c r="H451" i="1423"/>
  <c r="H450" i="1423"/>
  <c r="H449" i="1423"/>
  <c r="H448" i="1423"/>
  <c r="H447" i="1423"/>
  <c r="H446" i="1423"/>
  <c r="H445" i="1423"/>
  <c r="H444" i="1423"/>
  <c r="H443" i="1423"/>
  <c r="H442" i="1423"/>
  <c r="H441" i="1423"/>
  <c r="H440" i="1423"/>
  <c r="H439" i="1423"/>
  <c r="H438" i="1423"/>
  <c r="H437" i="1423"/>
  <c r="H436" i="1423"/>
  <c r="H435" i="1423"/>
  <c r="H434" i="1423"/>
  <c r="H433" i="1423"/>
  <c r="H432" i="1423"/>
  <c r="H431" i="1423"/>
  <c r="H430" i="1423"/>
  <c r="H429" i="1423"/>
  <c r="H428" i="1423"/>
  <c r="H427" i="1423"/>
  <c r="H426" i="1423"/>
  <c r="H425" i="1423"/>
  <c r="H424" i="1423"/>
  <c r="H423" i="1423"/>
  <c r="H422" i="1423"/>
  <c r="H421" i="1423"/>
  <c r="H420" i="1423"/>
  <c r="H419" i="1423"/>
  <c r="H418" i="1423"/>
  <c r="H417" i="1423"/>
  <c r="H416" i="1423"/>
  <c r="H415" i="1423"/>
  <c r="H414" i="1423"/>
  <c r="H413" i="1423"/>
  <c r="H412" i="1423"/>
  <c r="H411" i="1423"/>
  <c r="H410" i="1423"/>
  <c r="H409" i="1423"/>
  <c r="H408" i="1423"/>
  <c r="H407" i="1423"/>
  <c r="H406" i="1423"/>
  <c r="H405" i="1423"/>
  <c r="H404" i="1423"/>
  <c r="H403" i="1423"/>
  <c r="H402" i="1423"/>
  <c r="H401" i="1423"/>
  <c r="H400" i="1423"/>
  <c r="H399" i="1423"/>
  <c r="H398" i="1423"/>
  <c r="H397" i="1423"/>
  <c r="H396" i="1423"/>
  <c r="H395" i="1423"/>
  <c r="H394" i="1423"/>
  <c r="H393" i="1423"/>
  <c r="H392" i="1423"/>
  <c r="H391" i="1423"/>
  <c r="H390" i="1423"/>
  <c r="H389" i="1423"/>
  <c r="H388" i="1423"/>
  <c r="H387" i="1423"/>
  <c r="H386" i="1423"/>
  <c r="H385" i="1423"/>
  <c r="H384" i="1423"/>
  <c r="H383" i="1423"/>
  <c r="H382" i="1423"/>
  <c r="H381" i="1423"/>
  <c r="H380" i="1423"/>
  <c r="H379" i="1423"/>
  <c r="H378" i="1423"/>
  <c r="H377" i="1423"/>
  <c r="H376" i="1423"/>
  <c r="H375" i="1423"/>
  <c r="H374" i="1423"/>
  <c r="H373" i="1423"/>
  <c r="H372" i="1423"/>
  <c r="H371" i="1423"/>
  <c r="H370" i="1423"/>
  <c r="H369" i="1423"/>
  <c r="H368" i="1423"/>
  <c r="H367" i="1423"/>
  <c r="H366" i="1423"/>
  <c r="H365" i="1423"/>
  <c r="H364" i="1423"/>
  <c r="H363" i="1423"/>
  <c r="H362" i="1423"/>
  <c r="H361" i="1423"/>
  <c r="H360" i="1423"/>
  <c r="H359" i="1423"/>
  <c r="H358" i="1423"/>
  <c r="H357" i="1423"/>
  <c r="H356" i="1423"/>
  <c r="H355" i="1423"/>
  <c r="H354" i="1423"/>
  <c r="H353" i="1423"/>
  <c r="H352" i="1423"/>
  <c r="H351" i="1423"/>
  <c r="H350" i="1423"/>
  <c r="H349" i="1423"/>
  <c r="H348" i="1423"/>
  <c r="H347" i="1423"/>
  <c r="H346" i="1423"/>
  <c r="H345" i="1423"/>
  <c r="H344" i="1423"/>
  <c r="H343" i="1423"/>
  <c r="H342" i="1423"/>
  <c r="H341" i="1423"/>
  <c r="H340" i="1423"/>
  <c r="H339" i="1423"/>
  <c r="H338" i="1423"/>
  <c r="H337" i="1423"/>
  <c r="H336" i="1423"/>
  <c r="H335" i="1423"/>
  <c r="H334" i="1423"/>
  <c r="H333" i="1423"/>
  <c r="H332" i="1423"/>
  <c r="H331" i="1423"/>
  <c r="H330" i="1423"/>
  <c r="H329" i="1423"/>
  <c r="H328" i="1423"/>
  <c r="H327" i="1423"/>
  <c r="H326" i="1423"/>
  <c r="H325" i="1423"/>
  <c r="H324" i="1423"/>
  <c r="H323" i="1423"/>
  <c r="H322" i="1423"/>
  <c r="H321" i="1423"/>
  <c r="H320" i="1423"/>
  <c r="H319" i="1423"/>
  <c r="H318" i="1423"/>
  <c r="H317" i="1423"/>
  <c r="H316" i="1423"/>
  <c r="H315" i="1423"/>
  <c r="H314" i="1423"/>
  <c r="H313" i="1423"/>
  <c r="H312" i="1423"/>
  <c r="H311" i="1423"/>
  <c r="H310" i="1423"/>
  <c r="H309" i="1423"/>
  <c r="H308" i="1423"/>
  <c r="H307" i="1423"/>
  <c r="H306" i="1423"/>
  <c r="H305" i="1423"/>
  <c r="H304" i="1423"/>
  <c r="H303" i="1423"/>
  <c r="H302" i="1423"/>
  <c r="H301" i="1423"/>
  <c r="H300" i="1423"/>
  <c r="H299" i="1423"/>
  <c r="H298" i="1423"/>
  <c r="H297" i="1423"/>
  <c r="H296" i="1423"/>
  <c r="H295" i="1423"/>
  <c r="H294" i="1423"/>
  <c r="H293" i="1423"/>
  <c r="H292" i="1423"/>
  <c r="H291" i="1423"/>
  <c r="H290" i="1423"/>
  <c r="H289" i="1423"/>
  <c r="H288" i="1423"/>
  <c r="H287" i="1423"/>
  <c r="H286" i="1423"/>
  <c r="H285" i="1423"/>
  <c r="H284" i="1423"/>
  <c r="H283" i="1423"/>
  <c r="H282" i="1423"/>
  <c r="H281" i="1423"/>
  <c r="H280" i="1423"/>
  <c r="H279" i="1423"/>
  <c r="H278" i="1423"/>
  <c r="H277" i="1423"/>
  <c r="H276" i="1423"/>
  <c r="H275" i="1423"/>
  <c r="H274" i="1423"/>
  <c r="H273" i="1423"/>
  <c r="H272" i="1423"/>
  <c r="H271" i="1423"/>
  <c r="H270" i="1423"/>
  <c r="H269" i="1423"/>
  <c r="H268" i="1423"/>
  <c r="H267" i="1423"/>
  <c r="H266" i="1423"/>
  <c r="H265" i="1423"/>
  <c r="H264" i="1423"/>
  <c r="H263" i="1423"/>
  <c r="H262" i="1423"/>
  <c r="H261" i="1423"/>
  <c r="H260" i="1423"/>
  <c r="H259" i="1423"/>
  <c r="H258" i="1423"/>
  <c r="H257" i="1423"/>
  <c r="H256" i="1423"/>
  <c r="H255" i="1423"/>
  <c r="H254" i="1423"/>
  <c r="H253" i="1423"/>
  <c r="H252" i="1423"/>
  <c r="H251" i="1423"/>
  <c r="H250" i="1423"/>
  <c r="H247" i="1423"/>
  <c r="H246" i="1423"/>
  <c r="H245" i="1423"/>
  <c r="H244" i="1423"/>
  <c r="H243" i="1423"/>
  <c r="H242" i="1423"/>
  <c r="H241" i="1423"/>
  <c r="H240" i="1423"/>
  <c r="H239" i="1423"/>
  <c r="H238" i="1423"/>
  <c r="H115" i="1423"/>
  <c r="H113" i="1423"/>
  <c r="H112" i="1423"/>
  <c r="H111" i="1423"/>
  <c r="H110" i="1423"/>
  <c r="H109" i="1423"/>
  <c r="H108" i="1423"/>
  <c r="H107" i="1423"/>
  <c r="H106" i="1423"/>
  <c r="H105" i="1423"/>
  <c r="H104" i="1423"/>
  <c r="H103" i="1423"/>
  <c r="H102" i="1423"/>
  <c r="H101" i="1423"/>
  <c r="H100" i="1423"/>
  <c r="H99" i="1423"/>
  <c r="H98" i="1423"/>
  <c r="H97" i="1423"/>
  <c r="H96" i="1423"/>
  <c r="H95" i="1423"/>
  <c r="H94" i="1423"/>
  <c r="H93" i="1423"/>
  <c r="H92" i="1423"/>
  <c r="H91" i="1423"/>
  <c r="H90" i="1423"/>
  <c r="H89" i="1423"/>
  <c r="H88" i="1423"/>
  <c r="H87" i="1423"/>
  <c r="H86" i="1423"/>
  <c r="H85" i="1423"/>
  <c r="H84" i="1423"/>
  <c r="H83" i="1423"/>
  <c r="H82" i="1423"/>
  <c r="H81" i="1423"/>
  <c r="H80" i="1423"/>
  <c r="H79" i="1423"/>
  <c r="H78" i="1423"/>
  <c r="H77" i="1423"/>
  <c r="H75" i="1423"/>
  <c r="H74" i="1423"/>
  <c r="H73" i="1423"/>
  <c r="H72" i="1423"/>
  <c r="H71" i="1423"/>
  <c r="H70" i="1423"/>
  <c r="H69" i="1423"/>
  <c r="H68" i="1423"/>
  <c r="H67" i="1423"/>
  <c r="H66" i="1423"/>
  <c r="H65" i="1423"/>
  <c r="H64" i="1423"/>
  <c r="H63" i="1423"/>
  <c r="H62" i="1423"/>
  <c r="H61" i="1423"/>
  <c r="H60" i="1423"/>
  <c r="H59" i="1423"/>
  <c r="H58" i="1423"/>
  <c r="H57" i="1423"/>
  <c r="H56" i="1423"/>
  <c r="H55" i="1423"/>
  <c r="H54" i="1423"/>
  <c r="H51" i="1423"/>
  <c r="H50" i="1423"/>
  <c r="H49" i="1423"/>
  <c r="H48" i="1423"/>
  <c r="H47" i="1423"/>
  <c r="H46" i="1423"/>
  <c r="H45" i="1423"/>
  <c r="H44" i="1423"/>
  <c r="H43" i="1423"/>
  <c r="H42" i="1423"/>
  <c r="H41" i="1423"/>
  <c r="H40" i="1423"/>
  <c r="H39" i="1423"/>
  <c r="H38" i="1423"/>
  <c r="H37" i="1423"/>
  <c r="H36" i="1423"/>
  <c r="H35" i="1423"/>
  <c r="H34" i="1423"/>
  <c r="H33" i="1423"/>
  <c r="H32" i="1423"/>
  <c r="H31" i="1423"/>
  <c r="H28" i="1423"/>
  <c r="H27" i="1423"/>
  <c r="H26" i="1423"/>
  <c r="H25" i="1423"/>
  <c r="H24" i="1423"/>
  <c r="H23" i="1423"/>
  <c r="H22" i="1423"/>
  <c r="H21" i="1423"/>
  <c r="H20" i="1423"/>
  <c r="H19" i="1423"/>
  <c r="H18" i="1423"/>
  <c r="H17" i="1423"/>
  <c r="H16" i="1423"/>
  <c r="H15" i="1423"/>
  <c r="H14" i="1423"/>
  <c r="H13" i="1423"/>
  <c r="H12" i="1423"/>
  <c r="H11" i="1423"/>
  <c r="H10" i="1423"/>
  <c r="H9" i="1423"/>
  <c r="H8" i="1423"/>
  <c r="H732" i="1423" l="1"/>
</calcChain>
</file>

<file path=xl/sharedStrings.xml><?xml version="1.0" encoding="utf-8"?>
<sst xmlns="http://schemas.openxmlformats.org/spreadsheetml/2006/main" count="1845" uniqueCount="882">
  <si>
    <t>Товар принял</t>
  </si>
  <si>
    <t>Наименование</t>
  </si>
  <si>
    <t>Цена</t>
  </si>
  <si>
    <t>Кол-во</t>
  </si>
  <si>
    <t>Сумма</t>
  </si>
  <si>
    <t>Form Coffee 100x20g</t>
  </si>
  <si>
    <t>Стак Form Coffee 48x27g</t>
  </si>
  <si>
    <t>4780019430023</t>
  </si>
  <si>
    <t>Стак Form Coffee 20гр *95шт</t>
  </si>
  <si>
    <t>Form Coffee 240x16g</t>
  </si>
  <si>
    <t>Для детей Form Coffee 240x16g</t>
  </si>
  <si>
    <t>Form Coffe Black 100*2g</t>
  </si>
  <si>
    <t>Form Рулет вишня 150 гр</t>
  </si>
  <si>
    <t>Form Рулет вар.сгущенка150 гр</t>
  </si>
  <si>
    <t>Form Рулет клубника 150 гр</t>
  </si>
  <si>
    <t>Form Рулет какао150 гр</t>
  </si>
  <si>
    <t>Form Рулет лес.ягода150 гр</t>
  </si>
  <si>
    <t>"Пористый молочный" 180гр</t>
  </si>
  <si>
    <t>"Пористый сливочный" 180гр</t>
  </si>
  <si>
    <t>Пряники с нач лес ягод 200гр фр</t>
  </si>
  <si>
    <t>Пряники с отрубями 200гр фруктозе</t>
  </si>
  <si>
    <t>Пряники с абрикос 200гр фруктозе</t>
  </si>
  <si>
    <t>Пряники с черника 200гр фруктозе</t>
  </si>
  <si>
    <t>Пряники с брусничной 280гр фруктозе</t>
  </si>
  <si>
    <t>Кекс с изюмом 220гр на фруктозе</t>
  </si>
  <si>
    <t>Кекс с клюквой 220гр на фруктозе</t>
  </si>
  <si>
    <t>Торт с бруснич конф 250гр на фруктозе</t>
  </si>
  <si>
    <t>Торт с лесным ягод 250гр на фруктозе</t>
  </si>
  <si>
    <t>Пол.завтр Имбир с яблок фрукт.240гр</t>
  </si>
  <si>
    <t>Пол.завтр Мултизлаков фруктоз 240гр</t>
  </si>
  <si>
    <t>Пол.завтр Овсян отрубя.фруктоз 240гр</t>
  </si>
  <si>
    <t xml:space="preserve">"Темная ночь"глаз пом 4кг                                             </t>
  </si>
  <si>
    <t xml:space="preserve">Драже Арахис в цветном сахаре 4кг </t>
  </si>
  <si>
    <t>Вафельник в глаз.Мотофеюшка 3 кг</t>
  </si>
  <si>
    <t>Вафельник в глаз.Лилигномы 3 кг</t>
  </si>
  <si>
    <t>Вафельник в глаз.Муркины забавы 3 кг</t>
  </si>
  <si>
    <t>Вафельник в глаз.Рыжая пушистая 3 кг</t>
  </si>
  <si>
    <t xml:space="preserve">"Молочный коктейль"с плом 4кг                                         </t>
  </si>
  <si>
    <t xml:space="preserve">"Тимка-сладкоежка"глаз 3кг                                            </t>
  </si>
  <si>
    <t xml:space="preserve">"Мон Ами с шок вкусом" 2,5кг                                          </t>
  </si>
  <si>
    <t xml:space="preserve">"Мон Ами с слив-ван вкусом" 2,5кг                                     </t>
  </si>
  <si>
    <t xml:space="preserve">"Мон Ами с апель вкусом" 2,5кг                                        </t>
  </si>
  <si>
    <t xml:space="preserve">"Мон Ами с кр-брюле вкусом" 2,5кг                                     </t>
  </si>
  <si>
    <t xml:space="preserve">"Мон Ами с сгущ мол вкусом" 2,5кг                                     </t>
  </si>
  <si>
    <t>Мон Ами с йогурт вкусом 2,5 кг</t>
  </si>
  <si>
    <t>Шок.глаз.Лингот Темная 3,5 кг</t>
  </si>
  <si>
    <t>Шок.глаз.Лингот Молочная 3,5 кг</t>
  </si>
  <si>
    <t>Шок.глаз.Лингот Апельсин 3,5 кг</t>
  </si>
  <si>
    <t xml:space="preserve">"Лимон"карам леденц 4кг                                               </t>
  </si>
  <si>
    <t xml:space="preserve">"Арбуз"карам леденц 4кг                                               </t>
  </si>
  <si>
    <t xml:space="preserve">"Клубника"карам леденц 4кг                                            </t>
  </si>
  <si>
    <t xml:space="preserve">"Лимонная неугомонная"табл 3кг                                        </t>
  </si>
  <si>
    <t xml:space="preserve">"Абрикос"карамель желе 3кг                                            </t>
  </si>
  <si>
    <t xml:space="preserve">"Ежевика"карамель желе 3кг                                            </t>
  </si>
  <si>
    <t xml:space="preserve">"Сгущенка в карамели" 4кг                                             </t>
  </si>
  <si>
    <t xml:space="preserve">"Сгущенка в карамели"персик 4кг                                       </t>
  </si>
  <si>
    <t xml:space="preserve">"Банан"карам фрук-ягодн 4кг                                           </t>
  </si>
  <si>
    <t xml:space="preserve">"Клубника"карам фрук-ягодн 4кг                                        </t>
  </si>
  <si>
    <t xml:space="preserve">"Лимон"карам фрук-ягодн 4кг                                           </t>
  </si>
  <si>
    <t xml:space="preserve">"Малина"карам фрук-ягодн 4кг                                          </t>
  </si>
  <si>
    <t xml:space="preserve">Кар с нач "ДС" малина 4кг                                             </t>
  </si>
  <si>
    <t xml:space="preserve">"Луэро"карамель молоко 4кг                                            </t>
  </si>
  <si>
    <t xml:space="preserve">"Луэро"карамель шоколад 4кг                                           </t>
  </si>
  <si>
    <t xml:space="preserve">"Веселые дольки"с вк апель 4кг                                        </t>
  </si>
  <si>
    <t xml:space="preserve">"Веселые дольки"с вк грейпф 4кг                                       </t>
  </si>
  <si>
    <t xml:space="preserve">"Веселые дольки"с вк лимон 4кг                                        </t>
  </si>
  <si>
    <t xml:space="preserve">"Веселые дольки"лим,апел,гре 4кг                                      </t>
  </si>
  <si>
    <t xml:space="preserve">"Ореховое царство белки" 4кг                                          </t>
  </si>
  <si>
    <t xml:space="preserve">"Волшебный мак" с пралине 4кг                                         </t>
  </si>
  <si>
    <t xml:space="preserve">"Карадаг" с пралине 4кг                                               </t>
  </si>
  <si>
    <t xml:space="preserve">"Гуси у бабуси"шок-орех 3кг                                           </t>
  </si>
  <si>
    <t xml:space="preserve">"Леденц класс"вкусс Барбариса 4кг                                     </t>
  </si>
  <si>
    <t xml:space="preserve">"Леденц класс"с Дюшес 4кг                                             </t>
  </si>
  <si>
    <t xml:space="preserve">Конф глаз Вен.тайн крем брюл 3кг                               </t>
  </si>
  <si>
    <t xml:space="preserve">Карамель в глаз "Озорные джунгли" 4кг                                 </t>
  </si>
  <si>
    <t xml:space="preserve">Карамель в глаз "Питерский бульвар" 4кг                               </t>
  </si>
  <si>
    <t xml:space="preserve">Карамель в глаз "Петровский форт" 4кг                                 </t>
  </si>
  <si>
    <t>Паралиновый батон без сахара 4 кг</t>
  </si>
  <si>
    <t>Мон Ами вкус йог.без сахара 2,5 кг</t>
  </si>
  <si>
    <t>4607157396688</t>
  </si>
  <si>
    <t>Мон Ами слив.вани без сахара 200гр</t>
  </si>
  <si>
    <t>4607157396466</t>
  </si>
  <si>
    <t>Рулет Бамбело Брусника без сахара 145гр</t>
  </si>
  <si>
    <t>4607157396480</t>
  </si>
  <si>
    <t>Рулет Бамбело Вишня без сахара 145гр</t>
  </si>
  <si>
    <t>4607157396503</t>
  </si>
  <si>
    <t>4607157396664</t>
  </si>
  <si>
    <t>Мон Ами со вкус йогурт без сахар 200гр</t>
  </si>
  <si>
    <t>Бисквит вареная сгущенка 150гр</t>
  </si>
  <si>
    <t xml:space="preserve">Паштет куринный 140гр                                                 </t>
  </si>
  <si>
    <t xml:space="preserve">Паштет индейка 140гр                                                  </t>
  </si>
  <si>
    <t xml:space="preserve">Паштет соусом гуся 140гр                                              </t>
  </si>
  <si>
    <t xml:space="preserve">Choco Pie 6 шт                                                        </t>
  </si>
  <si>
    <t xml:space="preserve">Choco Pie 12 шт                                                       </t>
  </si>
  <si>
    <t>84103697</t>
  </si>
  <si>
    <t>Бульон  куриный 48*10гр</t>
  </si>
  <si>
    <t>84103093</t>
  </si>
  <si>
    <t>Бульон  грибной 48*10гр</t>
  </si>
  <si>
    <t>84103673</t>
  </si>
  <si>
    <t xml:space="preserve">Бульон курин.с укроп петрш 48*10гр </t>
  </si>
  <si>
    <t>84103086</t>
  </si>
  <si>
    <t>Бульон  говяжий 48*10гр</t>
  </si>
  <si>
    <t>84103239</t>
  </si>
  <si>
    <t>Бульон  овощной 48*10гр</t>
  </si>
  <si>
    <t>84103222</t>
  </si>
  <si>
    <t xml:space="preserve">Бульон Говяжий на косточке 48*10гр </t>
  </si>
  <si>
    <t>8410300238164</t>
  </si>
  <si>
    <t xml:space="preserve">Бульон курин.укроп петруш 8*10*10гр </t>
  </si>
  <si>
    <t>8410300207665</t>
  </si>
  <si>
    <t>Бульон  куриный 8*10*10гр</t>
  </si>
  <si>
    <t>8410300102939</t>
  </si>
  <si>
    <t>Бульон говяжий 8*10*10гр</t>
  </si>
  <si>
    <t>8410300230281</t>
  </si>
  <si>
    <t>Бульон  овощной 8*10*10гр</t>
  </si>
  <si>
    <t>8410300104612</t>
  </si>
  <si>
    <t>Бульон  грибной 8*10*10гр</t>
  </si>
  <si>
    <t>8410300233954</t>
  </si>
  <si>
    <t>Бистросуп куриный с лапшой  пак.24*15гр</t>
  </si>
  <si>
    <t>8410300233985</t>
  </si>
  <si>
    <t>Бистросуп грибной с лапшой  пак.24*15гр</t>
  </si>
  <si>
    <t>8410300233992</t>
  </si>
  <si>
    <t>Бистросуп -пюре горох с сухар пак.24*15гр</t>
  </si>
  <si>
    <t>8410300233961</t>
  </si>
  <si>
    <t>Бистросуп пюре курин.с сухар пак.24*15гр</t>
  </si>
  <si>
    <t>8410300233978</t>
  </si>
  <si>
    <t>Бистросуп пюре шамп с сухар пак.24*15гр</t>
  </si>
  <si>
    <t>8410300234005</t>
  </si>
  <si>
    <t>Бистросуп мясной с лапшой  пак.24*15гр</t>
  </si>
  <si>
    <t>8410300340232</t>
  </si>
  <si>
    <t>Бульон Говяж.на косточк.  8*10*10гр</t>
  </si>
  <si>
    <t>8410300235767</t>
  </si>
  <si>
    <t>Суп куриный с лапшой пакет.24*61гр</t>
  </si>
  <si>
    <t>8410300235774</t>
  </si>
  <si>
    <t>Суп грибной с лапшой пакет.24*51гр</t>
  </si>
  <si>
    <t>8410300235781</t>
  </si>
  <si>
    <t>Суп мясной с вермишел. пак.24*59гр</t>
  </si>
  <si>
    <t>8410300235750</t>
  </si>
  <si>
    <t>Суп куриный с вермишел.пак 24*61гр</t>
  </si>
  <si>
    <t>8410300235811</t>
  </si>
  <si>
    <t>Суп Рассольник пакет.24*59гр</t>
  </si>
  <si>
    <t>8410300235828</t>
  </si>
  <si>
    <t>Суп Борщ пакет.24*46гр</t>
  </si>
  <si>
    <t>8410300235804</t>
  </si>
  <si>
    <t>Суп Харчо пакет.24*52гр</t>
  </si>
  <si>
    <t>8410300209812</t>
  </si>
  <si>
    <t>Космос Макаронные изделие 250гр</t>
  </si>
  <si>
    <t>8410300209829</t>
  </si>
  <si>
    <t>Джунгли Макаронные изделие 250гр</t>
  </si>
  <si>
    <t>8410300209836</t>
  </si>
  <si>
    <t>Гонки Макаронные изделие 250гр</t>
  </si>
  <si>
    <t>8410300236610</t>
  </si>
  <si>
    <t>Спагетти Макаронные изделие 450гр</t>
  </si>
  <si>
    <t>8410300236627</t>
  </si>
  <si>
    <t>Лапша Макаронные изделие 450гр</t>
  </si>
  <si>
    <t>8410300236634</t>
  </si>
  <si>
    <t>Макароны Макаронные изделие 450гр</t>
  </si>
  <si>
    <t>8410300236641</t>
  </si>
  <si>
    <t>Рожки Макаронные изделие 450гр</t>
  </si>
  <si>
    <t>8410300236658</t>
  </si>
  <si>
    <t>Спиральки Макаронные изделие 450гр</t>
  </si>
  <si>
    <t>8410300236665</t>
  </si>
  <si>
    <t>Вермишель Макаронн изделие 450гр</t>
  </si>
  <si>
    <t>8410300236672</t>
  </si>
  <si>
    <t>Перья Макаронные изделие 450гр</t>
  </si>
  <si>
    <t>8410300236689</t>
  </si>
  <si>
    <t>Улитки Макаронные изделие 450гр</t>
  </si>
  <si>
    <t>8410300236696</t>
  </si>
  <si>
    <t>Пружинки Макаронные изделие 450гр</t>
  </si>
  <si>
    <t>8410300236702</t>
  </si>
  <si>
    <t>Ракушки Макаронные изделие 450гр</t>
  </si>
  <si>
    <t>8410300238478</t>
  </si>
  <si>
    <t>Гребешки Макаронные изделие 450гр</t>
  </si>
  <si>
    <t>4820155021813</t>
  </si>
  <si>
    <t>Сгущенка ТУ 8,5% 370 грам</t>
  </si>
  <si>
    <t>4820155021769</t>
  </si>
  <si>
    <t>Сгущенка ГОСТ 8,5 % 370 грамм</t>
  </si>
  <si>
    <t>4820155021806</t>
  </si>
  <si>
    <t>Сгущенка Ириска 8,5 % 370 грамм</t>
  </si>
  <si>
    <t>Сгущенка Ириска 8,5 % весовой 4кг</t>
  </si>
  <si>
    <t>4820155021820</t>
  </si>
  <si>
    <t>Сгущенка ТУ 8,5 % 950 грамм</t>
  </si>
  <si>
    <t>4600528346787</t>
  </si>
  <si>
    <t>Соус Астория для пельмени 233гр</t>
  </si>
  <si>
    <t>4600528343588</t>
  </si>
  <si>
    <t>Соус Астория Сметана с гриб.233гр</t>
  </si>
  <si>
    <t>4600528346794</t>
  </si>
  <si>
    <t>Соус Астория Сырный 233 гр</t>
  </si>
  <si>
    <t>4600528348286</t>
  </si>
  <si>
    <t>Соус Астория Горчичный 200гр</t>
  </si>
  <si>
    <t>4600528347289</t>
  </si>
  <si>
    <t>М-з Ряба Провансаль 67% 200гр</t>
  </si>
  <si>
    <t>4600528347821</t>
  </si>
  <si>
    <t>М-з Ряба Провансаль 67% 410гр</t>
  </si>
  <si>
    <t>4600528347296</t>
  </si>
  <si>
    <t>М-з Ряба Оливковый 67% 200гр</t>
  </si>
  <si>
    <t>4600528347838</t>
  </si>
  <si>
    <t>М-з Ряба Оливковый 67% 390гр</t>
  </si>
  <si>
    <t>4600528346992</t>
  </si>
  <si>
    <t>М-з Нежный Эконом 15% 200гр</t>
  </si>
  <si>
    <t>4600528341843</t>
  </si>
  <si>
    <t>М-з Нежный Эконом 15% 400гр</t>
  </si>
  <si>
    <t>БРИГАНТИНА  4кг</t>
  </si>
  <si>
    <t>ВЕСЕЛАЯ БУРЕНКА 4кг</t>
  </si>
  <si>
    <t>ГОРОДСКАЯ ЛАСТОЧКА  4кг</t>
  </si>
  <si>
    <t>ДЕТСКИЕ  4 кг</t>
  </si>
  <si>
    <t>ЛИСИЧКА  4кг</t>
  </si>
  <si>
    <t>МАСКА НЕВИДИМКА  глазированные 4кг</t>
  </si>
  <si>
    <t>Мечталки с воздушным рисом глаз 4 кг</t>
  </si>
  <si>
    <t>Мечталки со взрывной карамелью  глаз 4 кг</t>
  </si>
  <si>
    <t>МОЛОДЕЖНЫЕ ИСТОРИИ  4кг</t>
  </si>
  <si>
    <t>Небесный Ас Конфеты помадные 4 кг</t>
  </si>
  <si>
    <t>ПАРЯЩИЙ БУРЕВЕСТНИК 4кг</t>
  </si>
  <si>
    <t>ТАЙНА ЮЖАНКИ  4 кг</t>
  </si>
  <si>
    <t>ЧАРОВНИЦА  4кг</t>
  </si>
  <si>
    <t>Чудесница - Весна  помадные 4 кг</t>
  </si>
  <si>
    <t>Нежное Оболочко Суфле плам кон.глаз.2,5кг</t>
  </si>
  <si>
    <t>Нежное Оболочко Суфле слив-клуб .глаз.2,5кг</t>
  </si>
  <si>
    <t>Нежное Оболочко Суфле слив.вкус кон.2,5кг</t>
  </si>
  <si>
    <t>Нежное Оболочко Суфле шок.вкус кон.2,5кг</t>
  </si>
  <si>
    <t>Вариация кон.шоколадным вкусом глаз.2,5кг</t>
  </si>
  <si>
    <t>Вариация кон.сливочным вкусом глаз.2,5кг</t>
  </si>
  <si>
    <t>Бригантина кон.помадные 16х250гр</t>
  </si>
  <si>
    <t>Молодежные Истории кон.помадные 250гр</t>
  </si>
  <si>
    <t>Морские Чудеса кон.помадные 250гр</t>
  </si>
  <si>
    <t>Парящий Буревестник кон.помадные 250гр</t>
  </si>
  <si>
    <t>Тайна Южанки кон.помадные 250гр</t>
  </si>
  <si>
    <t>Городская Ласточка кон.помад.250гр</t>
  </si>
  <si>
    <t>Мечталки с ореховым вкусом  глаз 200гр</t>
  </si>
  <si>
    <t>Мечталки с воздушным рисом глаз 200гр</t>
  </si>
  <si>
    <t>Боярыня конфет глазированные 4х1 кг</t>
  </si>
  <si>
    <t>ИРИС глазировнный 4х1кг</t>
  </si>
  <si>
    <t>Осенняя Сказка подар мягкий грильяж 4х1кг</t>
  </si>
  <si>
    <t>Мечталки конфет шок.глазированые 4х1кг</t>
  </si>
  <si>
    <t>Савинов кон.желей.со вкус апельсин 250гр</t>
  </si>
  <si>
    <t>Савинов кон.желей.со вкус лес.ягода 250гр</t>
  </si>
  <si>
    <t>Отрада печ.со вкус топлен.молоко 100гр</t>
  </si>
  <si>
    <t>Отрада печ.со шоколадным вкусом 100гр</t>
  </si>
  <si>
    <t>Отрада печ с ореховым вкусом 100гр</t>
  </si>
  <si>
    <t>ЁЁШКИ хрустящие палочки Сыр 46,8гр</t>
  </si>
  <si>
    <t>Товар отпустил</t>
  </si>
  <si>
    <t>8809196520321</t>
  </si>
  <si>
    <t>Form Cream Сливки 500гр</t>
  </si>
  <si>
    <t>Сгущенка ТУ 8,5%  320 грамм</t>
  </si>
  <si>
    <t xml:space="preserve"> Торт  вафель. Аленка 1/250' (СПБ)</t>
  </si>
  <si>
    <t xml:space="preserve"> Торт' Коровка вкус топ. молоко 1/250' (СПБ)</t>
  </si>
  <si>
    <t>4600823125018</t>
  </si>
  <si>
    <t>4600823224056</t>
  </si>
  <si>
    <t>4600080462062</t>
  </si>
  <si>
    <t>4600823174016</t>
  </si>
  <si>
    <t>4600300002290</t>
  </si>
  <si>
    <t>4600300080731</t>
  </si>
  <si>
    <t>4600300080724</t>
  </si>
  <si>
    <t>4600300081233</t>
  </si>
  <si>
    <t>4600080462048</t>
  </si>
  <si>
    <t>4600300080762</t>
  </si>
  <si>
    <t>4607117892090</t>
  </si>
  <si>
    <t>4607117892137</t>
  </si>
  <si>
    <t>4603955001915</t>
  </si>
  <si>
    <t>4603955001939</t>
  </si>
  <si>
    <t>4603955001830</t>
  </si>
  <si>
    <t>4607144730013</t>
  </si>
  <si>
    <t>4607144732161</t>
  </si>
  <si>
    <t>4603955002165</t>
  </si>
  <si>
    <t>4600300080335</t>
  </si>
  <si>
    <t>4600300079865</t>
  </si>
  <si>
    <t>4607135891969</t>
  </si>
  <si>
    <t>4607135892317</t>
  </si>
  <si>
    <t>БАЙЖДЕ ОПА 200 гр мягкая уп.круп.лист</t>
  </si>
  <si>
    <t>БАЙЖДЕ ОПА 400гр мягкая уп.круп.лист</t>
  </si>
  <si>
    <t>БАЙЖДЕ ОПА 700гр мягкая уп.круп.лист</t>
  </si>
  <si>
    <t>БАЙДЖЕ БОП 200гр мягкая уп.сред.лист</t>
  </si>
  <si>
    <t>БАЙДЖЕ БОП 400гр мягкая уп.сред.лист</t>
  </si>
  <si>
    <t>БАЙДЖЕ БОП 700гр мягкая уп.сред.лист</t>
  </si>
  <si>
    <t>БАЙДЖЕ Пекое 200гр мягкая уп.сред.лист</t>
  </si>
  <si>
    <t>БАЙДЖЕ Пекое 400гр мягкая уп.сред.лист</t>
  </si>
  <si>
    <t>БАЙДЖЕ Пекое 700гр мягкая уп.сред.лист</t>
  </si>
  <si>
    <t>БАЙДЖЕ Класс.вкус 100гр Ж/Б сред.лист</t>
  </si>
  <si>
    <t>БАЙДЖЕ Бергамот 100гр Ж/Б сред.лист</t>
  </si>
  <si>
    <t>ВЕТА Клубника 25*2гр пакет.</t>
  </si>
  <si>
    <t>ВЕТА Лимон 25*2гр пакет</t>
  </si>
  <si>
    <t>ВЕТА Персик 25*2гр пакет</t>
  </si>
  <si>
    <t>ВЕТА Малина 25*2гр паект</t>
  </si>
  <si>
    <t>ВЕТА Черная Смородина 25*2гр пакет</t>
  </si>
  <si>
    <t>ВЕТА Яблоко 25*2гр пакет</t>
  </si>
  <si>
    <t>ВЕТА Мультифруктовый 25*2гр пакет</t>
  </si>
  <si>
    <t>БАЙДЖЕ Класс..вкус 100*2гр без.конвер</t>
  </si>
  <si>
    <t>БАЙДЖЕ Зеленый 100гр Ж/Б зелен.лист</t>
  </si>
  <si>
    <t xml:space="preserve">БАЙДЖЕ Зеленый с Жасмин 100гр Ж/Б </t>
  </si>
  <si>
    <t>БАЙДЖЕ Зеленый 200гр мягкая упаковка</t>
  </si>
  <si>
    <t>ВЕТА Де Люкс Зеленый 100гр Ж/Б</t>
  </si>
  <si>
    <t xml:space="preserve">ВЕТА Чай Зеленый 100гр Ж/Б </t>
  </si>
  <si>
    <t>ВЕТА Зеленый 100гр</t>
  </si>
  <si>
    <t>4607014861045</t>
  </si>
  <si>
    <t>4607014862479</t>
  </si>
  <si>
    <t>4607014861090</t>
  </si>
  <si>
    <t>4607014861106</t>
  </si>
  <si>
    <t>4607014861113</t>
  </si>
  <si>
    <t>8690717620008</t>
  </si>
  <si>
    <t>8690717026008</t>
  </si>
  <si>
    <t>4607014861199</t>
  </si>
  <si>
    <t>4607014861182</t>
  </si>
  <si>
    <t>4607014861229</t>
  </si>
  <si>
    <t>4607014861397</t>
  </si>
  <si>
    <t>8690717024004</t>
  </si>
  <si>
    <t>Паралиновый батон без сахара 200гр</t>
  </si>
  <si>
    <t>4607014861076</t>
  </si>
  <si>
    <t>4607014861083</t>
  </si>
  <si>
    <t>4607014862486</t>
  </si>
  <si>
    <t>4607014862493</t>
  </si>
  <si>
    <t>4607014861243</t>
  </si>
  <si>
    <t>4607014861212</t>
  </si>
  <si>
    <t>4607014861205</t>
  </si>
  <si>
    <t>4607014861267</t>
  </si>
  <si>
    <t>8690717025001</t>
  </si>
  <si>
    <t>8690717034003</t>
  </si>
  <si>
    <t>8690717005300</t>
  </si>
  <si>
    <t>4607014860345</t>
  </si>
  <si>
    <t xml:space="preserve">  Карамель' Клюквенная улуч э' (ККБ) 6 кг</t>
  </si>
  <si>
    <t>МОРСКИЕ ЧУДЕСА Кон. помадные 4кг</t>
  </si>
  <si>
    <t>Савинов  желей. со вкусом абрикоса 4 кг</t>
  </si>
  <si>
    <t>Савинов  желей. со вкусом винограда 4 кг</t>
  </si>
  <si>
    <t>Савинов  желейн. со вкусом клубники 4 кг</t>
  </si>
  <si>
    <t>Савинов  желейн.со вкусом арбуза 4х1кг</t>
  </si>
  <si>
    <t>Савинов  желейн.со вкусом апельсина 4х1кг</t>
  </si>
  <si>
    <t>Савинов  желей. со вкусом лесных ягод 4 кг</t>
  </si>
  <si>
    <t>Савинов Молочный конфеты глазир.4х1кг</t>
  </si>
  <si>
    <t>Савинов Шоколадный конф.глазир.4х1кг</t>
  </si>
  <si>
    <t>Конфеты  Облачко глазированные 4х1кг</t>
  </si>
  <si>
    <t>Конфеты  Одуванчик глазированные 4х1кг</t>
  </si>
  <si>
    <t>Хит конф.карамель-молоч.арахис с возд.рисом 3х1кг</t>
  </si>
  <si>
    <t>Хит конф.карамель-молоч.арахисом  3х1кг</t>
  </si>
  <si>
    <t>Отрада печ.со ореховым вкусом 2,7кг</t>
  </si>
  <si>
    <t>Отрада печ.со шоколадным вкусом 2,7кг</t>
  </si>
  <si>
    <t>Отрада печ.со вкусом топленого вкусом 2,7кг</t>
  </si>
  <si>
    <t>Мечталки взрывной карамелью глаз 200гр</t>
  </si>
  <si>
    <t>Нежное оболочка суюле пломб.кон.глаз 7х200гр</t>
  </si>
  <si>
    <t>Нежное оболочка суюле шок.вкус кон.глаз.7х200гр</t>
  </si>
  <si>
    <t>Бабаевский шок с помад-сливоч нач.4*30*50гр</t>
  </si>
  <si>
    <t>Бабаевский  с шоколад. нач.4*30*50гр</t>
  </si>
  <si>
    <t>Бабаевский элитный 75% какао 1/100гр</t>
  </si>
  <si>
    <t>Бабаевский  темный с фундуком 1/100гр</t>
  </si>
  <si>
    <t xml:space="preserve"> Бабаевский оригинальный 1/100' (ККБ)</t>
  </si>
  <si>
    <t xml:space="preserve">  Бабаевский горький 1/100' (ККБ)</t>
  </si>
  <si>
    <t xml:space="preserve">  Бабаевский элитный 75% 1/200' (РШ)</t>
  </si>
  <si>
    <t xml:space="preserve">  Аленка шоу б 1/100' (КО)</t>
  </si>
  <si>
    <t xml:space="preserve">  Аленка с фундуком 1/100' (РФ)</t>
  </si>
  <si>
    <t xml:space="preserve">  Аленка с фундуком и изюмом 1/100' (РФ)</t>
  </si>
  <si>
    <t xml:space="preserve">  Аленка с миндалем 1/100' (РФ)</t>
  </si>
  <si>
    <t xml:space="preserve">  Аленка пористый 1/095' (РФ)</t>
  </si>
  <si>
    <t xml:space="preserve">  Аленка много молока 1/100' (РФ)</t>
  </si>
  <si>
    <t xml:space="preserve"> Аленка 1/200' (РШ)</t>
  </si>
  <si>
    <t xml:space="preserve"> Мишка Косолапый с орех и вафлями 75гр</t>
  </si>
  <si>
    <t xml:space="preserve">  Молоч. пористый шок.Кремль 1/100' (РШ)</t>
  </si>
  <si>
    <t xml:space="preserve">  Черный порист.шок. Колокольня 1/100' (РШ)</t>
  </si>
  <si>
    <t xml:space="preserve">  Шок Мол.порис.с тертым фундук. 1/100' (РШ)</t>
  </si>
  <si>
    <t xml:space="preserve">  Элит. горький порис. шок.Всадник 1/100' (РШ)</t>
  </si>
  <si>
    <t xml:space="preserve">  Молочный пористый шок. Кремль 1/25' (РШ)</t>
  </si>
  <si>
    <t xml:space="preserve">  Черный пористый шок. Колокольня 1/25' (РШ)</t>
  </si>
  <si>
    <t xml:space="preserve">  Вдохновение 1/450' (ККБ)</t>
  </si>
  <si>
    <t xml:space="preserve"> Бабаевский шок мол.прал с орехами  350гр</t>
  </si>
  <si>
    <t xml:space="preserve">  Бабаевские шок прал с орехами 1/350' (ККБ)</t>
  </si>
  <si>
    <t xml:space="preserve">  Русь тройка 1/350' (КО)</t>
  </si>
  <si>
    <t xml:space="preserve">  Вдохновение Пралине с орехами 1/170' (КО)</t>
  </si>
  <si>
    <t xml:space="preserve">  Вдохновение Трюфельный крем 1/170' (КО)</t>
  </si>
  <si>
    <t xml:space="preserve"> Вдохновение шок.орех крем и целый фундук 150гр</t>
  </si>
  <si>
    <t xml:space="preserve">  Ассорти Подмосковные вечера 1/200' (КО)</t>
  </si>
  <si>
    <t xml:space="preserve"> Ас.ваф.торт Коровка топ.мол.свет кр.фас 200гр</t>
  </si>
  <si>
    <t xml:space="preserve"> Торт  Мишка Косолапый 1/250' (СБР)</t>
  </si>
  <si>
    <t xml:space="preserve">  Птичье молоко слив. Ванил. фас 1/225' (РФ)</t>
  </si>
  <si>
    <t xml:space="preserve">  Птичье молоко слив. ванильное 1/200' (КО)</t>
  </si>
  <si>
    <t xml:space="preserve">  Птичье молоко слив.-ванильные' (КО) 2,3 кг</t>
  </si>
  <si>
    <t xml:space="preserve">  Карамель Коровка саше' (КО)  6 кг</t>
  </si>
  <si>
    <t xml:space="preserve">  Карамель Аленка саше' (КО)    6 кг</t>
  </si>
  <si>
    <t xml:space="preserve">  Карамель' Барбарис' (РФ)  5 кг</t>
  </si>
  <si>
    <t xml:space="preserve">  Карамель' Дюшес' (РФ)  5 кг</t>
  </si>
  <si>
    <t xml:space="preserve">  Карамель Лимончики' (РФ)  5 кг</t>
  </si>
  <si>
    <t xml:space="preserve">  Карамель Мятная (ККБ)  6 кг</t>
  </si>
  <si>
    <t xml:space="preserve">  Карамель ассорти Малютка (ККБ) 6 кг</t>
  </si>
  <si>
    <t xml:space="preserve">  Мечта глаз.помад.кон 5 кг</t>
  </si>
  <si>
    <t xml:space="preserve">  Карамель Фея  5 кг</t>
  </si>
  <si>
    <t xml:space="preserve">   Бабаевский 1/1000 (ККБ) 5 кг</t>
  </si>
  <si>
    <t xml:space="preserve">  Бабаевские 1/1000' (ККБ)  5 кг</t>
  </si>
  <si>
    <t xml:space="preserve">  Мишка Косолапый фас 1/1000 (КО) 5 кг</t>
  </si>
  <si>
    <t xml:space="preserve">  Аленка фас 1/1000' (КО)  5 кг</t>
  </si>
  <si>
    <t xml:space="preserve">  Красная шапочка 1/1000' (КО)  5 кг</t>
  </si>
  <si>
    <t xml:space="preserve">  Коровка вкус топленое молоко' (РФ)  5 кг</t>
  </si>
  <si>
    <t xml:space="preserve">  Ваф.. Конф. Коровка Молоч.' (ТАКФ) 3 кг</t>
  </si>
  <si>
    <t xml:space="preserve">  Ваф. Конф.Коровка вкус Шок.' (ТАКФ) 3кг</t>
  </si>
  <si>
    <t xml:space="preserve">  Кара Кум' (КО)  3 кг</t>
  </si>
  <si>
    <t xml:space="preserve"> Трюфель Бабаевский класический 4кг</t>
  </si>
  <si>
    <t xml:space="preserve"> Трюфель Бабаевский горький 4кг</t>
  </si>
  <si>
    <t xml:space="preserve"> Трюфели неглазир.крем  4 кг</t>
  </si>
  <si>
    <t xml:space="preserve"> Вдохновение 1/1000 (РФ)  6 кг</t>
  </si>
  <si>
    <t xml:space="preserve">  Вдохновение  шок орех крем и цел  фундук  3 кг</t>
  </si>
  <si>
    <t xml:space="preserve"> Вдохновение  шок орех крем и цел  миндаль  3 кг</t>
  </si>
  <si>
    <t xml:space="preserve"> Грильяжные Мягкий грильяж (КО) 4 кг</t>
  </si>
  <si>
    <t>Грильяж. Воздушная нуга и мягкий грильяж   4 кг</t>
  </si>
  <si>
    <t xml:space="preserve"> 'Печ.Коровка вкус топ.молоко фас 1/375' (СПБ)</t>
  </si>
  <si>
    <t>Вафли Артек фас 200гр</t>
  </si>
  <si>
    <t>Вафли Маринка фас 150 гр</t>
  </si>
  <si>
    <t>Вафли Коровка с шоколад.нач фас 150гр</t>
  </si>
  <si>
    <t>Вафли Коровка вкус топлен.молоко фас 150гр</t>
  </si>
  <si>
    <t>Вафли  Коровка вкус топлен.мол с глаз.фас  115гр</t>
  </si>
  <si>
    <t>Тульский пряник с фруктовой начин. 140гр</t>
  </si>
  <si>
    <t>Тульский пряник с нач.вареная сгущенка 140гр</t>
  </si>
  <si>
    <t>Паста Аленка какао паста с фундуком 150гр</t>
  </si>
  <si>
    <t>Сухой завтрак Хрустики подуш.шок.нач.200гр</t>
  </si>
  <si>
    <t>4600823030091</t>
  </si>
  <si>
    <t>4600823143005</t>
  </si>
  <si>
    <t>4603955002004</t>
  </si>
  <si>
    <t>4600823173019</t>
  </si>
  <si>
    <t>4600300075409</t>
  </si>
  <si>
    <t>4607117892113</t>
  </si>
  <si>
    <t>460080293208</t>
  </si>
  <si>
    <t>4607117892328</t>
  </si>
  <si>
    <t>4600300071067</t>
  </si>
  <si>
    <t>460955001946</t>
  </si>
  <si>
    <t>4603955001618</t>
  </si>
  <si>
    <t>4603955001632</t>
  </si>
  <si>
    <t>4600823201019</t>
  </si>
  <si>
    <t>4600823225053</t>
  </si>
  <si>
    <t>4600300078493</t>
  </si>
  <si>
    <t>4600080462079</t>
  </si>
  <si>
    <t>4607144732468</t>
  </si>
  <si>
    <t>4601021049342</t>
  </si>
  <si>
    <t>4600080320874</t>
  </si>
  <si>
    <t>4600080322137</t>
  </si>
  <si>
    <t>4600080322106</t>
  </si>
  <si>
    <t>4607144732451</t>
  </si>
  <si>
    <t>4601713001702</t>
  </si>
  <si>
    <t>4601713001719</t>
  </si>
  <si>
    <t>4603955002141</t>
  </si>
  <si>
    <t>4600425000287</t>
  </si>
  <si>
    <t>4600823094017</t>
  </si>
  <si>
    <t>Мечталки с  шоколад вкусом  глаз 4 кг</t>
  </si>
  <si>
    <t xml:space="preserve">Савинов кон.желей.со вкус абрикоса  250гр </t>
  </si>
  <si>
    <t xml:space="preserve">Савинов кон.желей.со вкус клубника 250гр </t>
  </si>
  <si>
    <t>Савинов кон.желей.со вкус арбуза 250гр</t>
  </si>
  <si>
    <t>Бренд</t>
  </si>
  <si>
    <t>Победа</t>
  </si>
  <si>
    <t>Х.Спас</t>
  </si>
  <si>
    <t>Невский</t>
  </si>
  <si>
    <t>Кр.Октябрь</t>
  </si>
  <si>
    <t>Г.Бланка</t>
  </si>
  <si>
    <t>Савинов</t>
  </si>
  <si>
    <t>Form</t>
  </si>
  <si>
    <t>Вета</t>
  </si>
  <si>
    <t>Лозово</t>
  </si>
  <si>
    <t>Ряба</t>
  </si>
  <si>
    <t>Рулет Бамбело сливоч. без сахара 145гр</t>
  </si>
  <si>
    <t xml:space="preserve">  Аленка в стиках с варен. Сгущен. 1/100гр</t>
  </si>
  <si>
    <t xml:space="preserve">  Аленка в стиках с молоч. Начин.1/100гр</t>
  </si>
  <si>
    <t xml:space="preserve"> Вдохнов. шок.орех крем и целый фундук 150гр</t>
  </si>
  <si>
    <t xml:space="preserve">Карамель в глаз "Юбилейная встреча " 4кг                                 </t>
  </si>
  <si>
    <t>Кон пом.слив. Сословие 3 кг</t>
  </si>
  <si>
    <t>Кон пом шок.слив.Сословие 3 кг</t>
  </si>
  <si>
    <t>Коронация арахис паста 3 кг</t>
  </si>
  <si>
    <t>Коронация  слив. Орех  3 кг</t>
  </si>
  <si>
    <t>Восхождение шок прал.4 кг</t>
  </si>
  <si>
    <t>Шок.глаз.ДЕЕП молочная 3,5 кг</t>
  </si>
  <si>
    <t>Шок.глаз.ДЕЕП темная  3,5 кг</t>
  </si>
  <si>
    <t>кг</t>
  </si>
  <si>
    <t>шт</t>
  </si>
  <si>
    <t>Form  торт Нежность крем сгущ. молоко 300гр</t>
  </si>
  <si>
    <t>Form Coffee Гранула Рич 100гр</t>
  </si>
  <si>
    <t>Form Coffee Голд сумбири. 85гр</t>
  </si>
  <si>
    <t>ЗАКАЗ</t>
  </si>
  <si>
    <t>НОМЕР</t>
  </si>
  <si>
    <t>Form  Сахар песок 12гр</t>
  </si>
  <si>
    <t>Печ. Мини топленное молоко кг</t>
  </si>
  <si>
    <t>Печ.Утренник  кг</t>
  </si>
  <si>
    <t>Печ.Топленное  молоко  кг</t>
  </si>
  <si>
    <t xml:space="preserve">  Торт Нежность крем абрикос 300гр</t>
  </si>
  <si>
    <t xml:space="preserve">  Торт Нежность крем вишня 300гр</t>
  </si>
  <si>
    <t xml:space="preserve">  Торт Нежность крем клубника 300гр</t>
  </si>
  <si>
    <t xml:space="preserve">  Торт Нежность крем  какао 300гр</t>
  </si>
  <si>
    <t xml:space="preserve"> Торт Нежность крем лес. ягода 300гр</t>
  </si>
  <si>
    <t xml:space="preserve"> Бисквит. рулет клубника 150гр</t>
  </si>
  <si>
    <t xml:space="preserve"> Бисквит. рулет лесная ягода 150гр</t>
  </si>
  <si>
    <t xml:space="preserve"> Бисквит. рулет абрикос 150гр</t>
  </si>
  <si>
    <t xml:space="preserve"> Бисквит. рулет вар. Сгущен. 150гр</t>
  </si>
  <si>
    <t xml:space="preserve"> Бисквит. рулет  вишня 150гр</t>
  </si>
  <si>
    <t xml:space="preserve"> Бисквит. рулет какао 150гр</t>
  </si>
  <si>
    <t>Form Coffee Оригин. 100гр порошок</t>
  </si>
  <si>
    <t>FERAB</t>
  </si>
  <si>
    <t>QARS QURS Крекер  Классик 100 гр</t>
  </si>
  <si>
    <t>QARS QURS Крекер  Соленый 100 гр</t>
  </si>
  <si>
    <t>QARS QURS Крекер  Сырный 100 гр</t>
  </si>
  <si>
    <t>QARS QURS Крекер  Паприка 100 гр</t>
  </si>
  <si>
    <t>Печ. Топленное молоко 140 гр</t>
  </si>
  <si>
    <t>FERAB Вафли торт сгущенка 200гр</t>
  </si>
  <si>
    <t>FERAB Вафли торт шоколад 200гр</t>
  </si>
  <si>
    <t>FERAB Вафли торт сливочный 200гр</t>
  </si>
  <si>
    <t>Печ.Юбилейное 120гр</t>
  </si>
  <si>
    <t>Cheer UP молочный 135 гр</t>
  </si>
  <si>
    <t>Cheer UP шоколадный 135 гр</t>
  </si>
  <si>
    <t>QARS QURS Крекер  Классик 23 гр</t>
  </si>
  <si>
    <t>QARS QURS Крекер  Соленый 23 гр</t>
  </si>
  <si>
    <t>QARS QURS Крекер  Сырный 23 гр</t>
  </si>
  <si>
    <t>QARS QURS Крекер  Паприка 23 гр</t>
  </si>
  <si>
    <t>4780044580145</t>
  </si>
  <si>
    <t>Печ.Юбилейное  кг</t>
  </si>
  <si>
    <t>Крекер К ЧАЮ в шокалад.глаз. 140 гр</t>
  </si>
  <si>
    <t>Итого:</t>
  </si>
  <si>
    <t>Печ.Юбилейное с какао120гр</t>
  </si>
  <si>
    <t>Печ.Юбилейное шок.глазурью  150гр</t>
  </si>
  <si>
    <t>Крекер К ЧАЮ в шокаладный 150гр</t>
  </si>
  <si>
    <t>Крекер К ЧАЮ в молочный 150гр</t>
  </si>
  <si>
    <t>Мини кекс с нач.Клубника 950гр</t>
  </si>
  <si>
    <t>Мини кекс с нач.Апельсин  950гр</t>
  </si>
  <si>
    <t>Мини кекс с нач.Яблока 950гр</t>
  </si>
  <si>
    <t xml:space="preserve"> Печ.CHOCO TIME  1кг</t>
  </si>
  <si>
    <t>Кекс Form нач.клуб.апел.яблок 1кг</t>
  </si>
  <si>
    <t>1000056486</t>
  </si>
  <si>
    <t>Form Coffee 3х1 Голд  30гр</t>
  </si>
  <si>
    <t>Печ.КОРОВКА вкус топлен.молоко 153гр</t>
  </si>
  <si>
    <t>Печ.КОРОВКА вкус сливочный 153гр</t>
  </si>
  <si>
    <t>Печ.КОРОВКА вкус медовый 153гр</t>
  </si>
  <si>
    <t>Печ.КОРОВКА вкус шоколадный 153гр</t>
  </si>
  <si>
    <t>SLIVKI FORM CREAM 250 гр</t>
  </si>
  <si>
    <t>SLIVKI FORM CREAM 150 гр</t>
  </si>
  <si>
    <t>Dr.Korner</t>
  </si>
  <si>
    <t>HLEBCI DR.KORNER KLYUKVENNIY 100GR</t>
  </si>
  <si>
    <t>HLEBCI DR.KORNER ZLAKOVIY LIMON 100GR</t>
  </si>
  <si>
    <t>HLEBCI DR.KORNER 7 ZLAKOV 100GR</t>
  </si>
  <si>
    <t>HLEBCI DR.KORNER CHERNICHNIE 100GR</t>
  </si>
  <si>
    <t>HLEBCI DR.KORNER KARAMELNIE 100GR</t>
  </si>
  <si>
    <t>БИСКВИТ</t>
  </si>
  <si>
    <t>Рулет Бисквитный Абрикосовый 150 гр</t>
  </si>
  <si>
    <t>Рулет Бисквитный с начинкой Вареная Сгущ. 150 гр</t>
  </si>
  <si>
    <t>Рулет Бисквитный Клубничный 150 гр</t>
  </si>
  <si>
    <t>Рулет Бисквитный с шоколадный вкусом 150 гр</t>
  </si>
  <si>
    <t>Кекс Венский мраморный с какао 350 гр</t>
  </si>
  <si>
    <t>Кекс Венский с арахисом и фундуком 350 гр</t>
  </si>
  <si>
    <t>Мини-рулет бисквитные с нач. Вар. Сгущ. 175 гр</t>
  </si>
  <si>
    <t xml:space="preserve"> БИСКВИТ</t>
  </si>
  <si>
    <t>Мини-рулет бисквитные Ягодное ассорти 175 гр</t>
  </si>
  <si>
    <t>Рулет Бисквитный Клубничный 300 гр</t>
  </si>
  <si>
    <t>Рулет Бисквитный Ягодное ассорти 300 гр</t>
  </si>
  <si>
    <t>HLEBCI DR.KORNER GRECHIVIY  100GR</t>
  </si>
  <si>
    <t>HLEBCI DR.KORNER ZLAKOVIY MIKS BEZ SOLI 100GR</t>
  </si>
  <si>
    <t>HLEBCI DR.KORNER RISOVIY S VITAM.100GR</t>
  </si>
  <si>
    <t>Тов.принял</t>
  </si>
  <si>
    <t>Мини-рулет бискв со вкус. клуб. со слив. 175 гр</t>
  </si>
  <si>
    <t>Мини-рулет бисксо вкус. малины со слив. 175 гр</t>
  </si>
  <si>
    <t>Мини-рулет биск с шоколадным вкусом 175 гр</t>
  </si>
  <si>
    <t>HLEBCI DR.KORNER BORODINSKIY  100GR</t>
  </si>
  <si>
    <t>HLEBCI DR.KORNER ZLAKOVIY KOKTEL SIRNIY 100GR</t>
  </si>
  <si>
    <t>HLEBCI DR.KORNER YABLOKO S KORITSEY 100GR</t>
  </si>
  <si>
    <t>HLEBCI DR.KORNER IMBIR I LIMONOM  100GR</t>
  </si>
  <si>
    <t>HLEBCI DR.KORNER MEDOVIY  100GR</t>
  </si>
  <si>
    <t>TORT "TRI SHOKOLADA" 400 GR</t>
  </si>
  <si>
    <t>TORT "KREM-BRYULE" 400 GR</t>
  </si>
  <si>
    <t>TORT "MEDOVIK KLASSICHESKIY" 420 GR</t>
  </si>
  <si>
    <t>TORT "MEDOVIK S SHOKOLADOM" 420 GR</t>
  </si>
  <si>
    <t>TORT "MURAVEYNIK MEDOVIY" 340 GR</t>
  </si>
  <si>
    <t>TORT "TVOROJNIK KLASSICHESKIY" 340 GR</t>
  </si>
  <si>
    <t>HLEBCI DR.KORNER S CHIA I LINOM 90 GR</t>
  </si>
  <si>
    <t>HLEBCI DR.KORNER S PROVANSKIMI TRAVAMI 90 GR</t>
  </si>
  <si>
    <t>HLEBCI DR.KORNER RISOVIY S MORSKOY SOLYU 90 GR</t>
  </si>
  <si>
    <t>HLEBCI DR.KORNER S KINOA LINOM I ROZAMARIN 90 GR</t>
  </si>
  <si>
    <t>CHP CHOCOWORLD</t>
  </si>
  <si>
    <t>DR. KORNER RISOVIY S OLIVKOVIY MASLOM I ROZMARINOM 50 GR</t>
  </si>
  <si>
    <t>DR. KORNER RISOVIY S GOROSHKOM I CHECHEVITSYA 50 GR</t>
  </si>
  <si>
    <t>DR. KORNER RISOVIY S SIROM 50 GR</t>
  </si>
  <si>
    <t>DR. KORNER RISOVIY S GOROSHKOM, FASOLYU I KINOA 50 GR</t>
  </si>
  <si>
    <t>DR. KORNER RISOVIY S TOMATOM I BAZILIKOM 50 GR</t>
  </si>
  <si>
    <t>DR. KORNER RISOVIY S SIROM NACHO 50 GR</t>
  </si>
  <si>
    <t>DR. KORNER RISOVIY S PAPRIKOY I CHILI 50 GR</t>
  </si>
  <si>
    <t>HLEBCI DR.KORNER  S TEMNIY SHOKOLADOM 67 GR</t>
  </si>
  <si>
    <t>TORT "FISTASHKOVIY S MALINOY" 290 GR</t>
  </si>
  <si>
    <t>TORT "BRUSNICHNIY"300 GR</t>
  </si>
  <si>
    <t>DR. KORNER MINI S BANANOM 30 GR</t>
  </si>
  <si>
    <t>DR. KORNER MINI S YABLICHNIY SOKOM 30 GR</t>
  </si>
  <si>
    <t>Form Coffee Energy Premium 34g</t>
  </si>
  <si>
    <t>Рулет Бисквитный с Варёная сгущёнка 300 гр</t>
  </si>
  <si>
    <t>Рулет Бисквитный с какао "Тигровый" 300 гр</t>
  </si>
  <si>
    <t>Мини-маффины Варёная Сгущ 200 гр</t>
  </si>
  <si>
    <t>Мини-маффины Малиново 200 гр</t>
  </si>
  <si>
    <t>Мини-маффины Ягодное ассорти 200 гр</t>
  </si>
  <si>
    <t>Кекс с начинкой Варёная Сгущёнка 225 г</t>
  </si>
  <si>
    <t>Кекс мраморный с какао 225 г</t>
  </si>
  <si>
    <t>Кекс с начинкой  вишнево джема 225 г</t>
  </si>
  <si>
    <t>Кекс с шоколадным вкусом 225 г</t>
  </si>
  <si>
    <t>Пирожное бисквитное "Клубничное" 240 г</t>
  </si>
  <si>
    <t>Пирожное бисквитное с Шоколадным вкусом 240 г</t>
  </si>
  <si>
    <t>Коржи бисквитные 400 г</t>
  </si>
  <si>
    <t>Коржи бисквитные с какао 400 г</t>
  </si>
  <si>
    <t>Мини-Маффин с начинкой Шоколадным вкусом 465 г</t>
  </si>
  <si>
    <t>Мини-Маффин с начинкой Варёная Сгущёнка 465 г</t>
  </si>
  <si>
    <t>Кекс Венский с изюмом 350 гр</t>
  </si>
  <si>
    <t>Мини-рулет бисквитные с нач. Абрикос 175 гр</t>
  </si>
  <si>
    <t>Мини-маффины Клубничный 200 гр</t>
  </si>
  <si>
    <t xml:space="preserve"> Dr. Korner OVSYANO-PSHENICH SO SMESYU SEMYAN 90 GR</t>
  </si>
  <si>
    <t xml:space="preserve">Бисквит мини булочки варен.сгушенка </t>
  </si>
  <si>
    <t xml:space="preserve">Булочки сдоб. мол. с нач. с шоколад. вкусом </t>
  </si>
  <si>
    <t xml:space="preserve">Мини-Маффин с начинкой Шоколадным вкусом </t>
  </si>
  <si>
    <t>Кекс Венский с цукутами 350 гр</t>
  </si>
  <si>
    <t xml:space="preserve">Мини-Маффин с начинкой Варен.сгущенка вкусом </t>
  </si>
  <si>
    <t xml:space="preserve">Мини-Маффин с начинкой Клубничной вкусом </t>
  </si>
  <si>
    <t>Торт вафел.шоколад-ореховый вкусом 220гр</t>
  </si>
  <si>
    <t>Торт вафел.кофейно-трюфель вкусом 220гр</t>
  </si>
  <si>
    <t>TORT "KAPUCHINO" 300 GR</t>
  </si>
  <si>
    <t>DR. KORNER MINI KARAMELNIE 30 GR</t>
  </si>
  <si>
    <t>HLEBCI DR.KORNER  S MOLOCHIY  SHOKOLADOM 67 GR</t>
  </si>
  <si>
    <t>Рулет Бисквитный Абрикосовый 300 гр</t>
  </si>
  <si>
    <t>Рулет Бисквитный Шоколадный 300 гр</t>
  </si>
  <si>
    <t>Рулет Бисквитный Вишневый 300 гр</t>
  </si>
  <si>
    <t>Form  Шиповник 75гр</t>
  </si>
  <si>
    <t>Кекс с начинкой  абрикосового джема 225 г</t>
  </si>
  <si>
    <t>Мини-рулет бисквитные с нач. Крем-брюле 175 гр</t>
  </si>
  <si>
    <t>HLEBCI DR.KORNER  S MOLOCHIY  SHOKOLADOM 34GR</t>
  </si>
  <si>
    <t>HLEBCI DR.KORNER  S TEMNIY SHOKOLADOM 34 GR</t>
  </si>
  <si>
    <t>Lebo</t>
  </si>
  <si>
    <t>Lebo Coffee Gold Arabica 25*2г</t>
  </si>
  <si>
    <t>Lebo Coffee Extra Arabica 25*2г</t>
  </si>
  <si>
    <t xml:space="preserve">Lebo Coffee Extra Arabica 70 g </t>
  </si>
  <si>
    <t>Lebo Coffee Gold Arabica 75 г</t>
  </si>
  <si>
    <t>Lebo Coffee Экслюзив 250 г</t>
  </si>
  <si>
    <t>Lebo Coffee Gold Arabica 500 г</t>
  </si>
  <si>
    <t>Lebo Coffee Экслюзив 1000 г</t>
  </si>
  <si>
    <t>Lebo Coffee Gold Arabica 1000 г</t>
  </si>
  <si>
    <t>Lebo Coffee Original стек банка 100г</t>
  </si>
  <si>
    <t>Lebo Coffee Gold Арабика стек банка 100г</t>
  </si>
  <si>
    <t>Lebo Coffee Classic Арабика стек банка 100г</t>
  </si>
  <si>
    <t>Lebo Coffee Extra Арабика  стек банка 100г</t>
  </si>
  <si>
    <t>Lebo Coffee Gold Arabica дой пак 100 г</t>
  </si>
  <si>
    <t>HLEBCI DR.KORNER С АБРИКОСОМ.100GR</t>
  </si>
  <si>
    <t>Кекс Венский цукатами и  изюмом 350 гр</t>
  </si>
  <si>
    <t>Барни CRAVINGS BEARS STRAWBERRY  CREAM 45GR (12X12)</t>
  </si>
  <si>
    <t>Барни CRAVINGS BEARS CHOCOLATE CREAM 45GR*(12X12)</t>
  </si>
  <si>
    <t>Барни Multipack CRAVINGS BEARS CHOCOLATE CREAM 45GR*(5X18)</t>
  </si>
  <si>
    <t>Барни CRAVINGS BEARS STRAWBERRY CREAM 45GR*(12X12)</t>
  </si>
  <si>
    <t>Барни Multipack CRAVINGS BEARS STRAWBERRY CREAM 45GR*(5X18)</t>
  </si>
  <si>
    <t>Булочка Multipack SPONGIEZ GOLDEN (MILKY) 45GR*(5X20)</t>
  </si>
  <si>
    <t>Булочка SPONGIEZ GOLDEN (MILKY) 45GR*(24X6)</t>
  </si>
  <si>
    <t>Булочка кора Multipack SPONGIEZ CHOCOLATE BLACK 45GR*(5X20)</t>
  </si>
  <si>
    <t>Булочка кора SPONGIEZ CHOCOLATE BLACK 45GR*(24X6)</t>
  </si>
  <si>
    <t>DONUTS Multipack (CARAMEL) 50GR*(6X15)</t>
  </si>
  <si>
    <t>CROISSANT CHOCOLATE Multipack 45GR*(5X12)</t>
  </si>
  <si>
    <t>CROISSANT CHOCOLATE 45GR*(20X4)</t>
  </si>
  <si>
    <t>Тирамису Multipack CLOUD CAKE 50GR*(5X12)</t>
  </si>
  <si>
    <t>Маффин Multipack CUPCAKE CHOCOLATE 45GR*(5X12)</t>
  </si>
  <si>
    <t>Маффин CUPCAKE CHOCOLATE 45GR*(12X12)</t>
  </si>
  <si>
    <t>CHIQOLA HAZELNUT CANDY BOX RED 100 GR*(1X24)</t>
  </si>
  <si>
    <t>CHIQOLA HAZELNUT CANDY BOX YELLOW 100 GR*(1X24)</t>
  </si>
  <si>
    <t>CHIQOLA HAZELNUT HEART BOX 110 GR*(1X24)</t>
  </si>
  <si>
    <t>CHIQOLA HAZELNUT BOX 140 GR*(1X12)</t>
  </si>
  <si>
    <t>LOC FRIES 225GR*(1X16)</t>
  </si>
  <si>
    <t>LOC COLA WORMS 225GR*(1X16)</t>
  </si>
  <si>
    <t>LOC TEETH 225GR*(1X12)</t>
  </si>
  <si>
    <t>JOUY/CO</t>
  </si>
  <si>
    <t>Булочки сдоб. мол. с нач. с шоколад. вкусом 350 гр</t>
  </si>
  <si>
    <t>Булочки сдоб. мол. с нач. с варенная сгущ. вкусом 350 гр</t>
  </si>
  <si>
    <t>Пирожное бисквитное с Шоколадным вкусом 40г*32шт</t>
  </si>
  <si>
    <t>ТИЙН САЛАР</t>
  </si>
  <si>
    <t>Lebo Coffee Принц Лебо молотый для турки 100 г</t>
  </si>
  <si>
    <t>Lebo Coffee Original зерно 100г</t>
  </si>
  <si>
    <t>Lebo Coffee Classic раств. Сумбл дой пак 75г</t>
  </si>
  <si>
    <t>Lebo Coffee Экслюзив раств.сублир ст/банка 100 г</t>
  </si>
  <si>
    <t>Кекс с начинкой  клубничного  джема 225 г</t>
  </si>
  <si>
    <t>Пирожное биск. с Шоколад. вкусом Марчело 30гр 84 шт</t>
  </si>
  <si>
    <t>HLEBCI DR.KORNER Ржанные КОРИАНДР ТМИН  100GR</t>
  </si>
  <si>
    <t>HLEBCI DR.KORNER Ржанные СЕМЕНА ЛЬНА  100GR</t>
  </si>
  <si>
    <t>DR. KORNER чипсы ТАЙСКИЕ ПЕРЕЦ 50 GR</t>
  </si>
  <si>
    <t>DR. KORNER чипсы СМЕТАНА И ЛУК 50 GR</t>
  </si>
  <si>
    <t>Пирожное бисквитное "Клубничное" 30 гр 84 шт</t>
  </si>
  <si>
    <t>Пирожное бисквитное с Шоколадным вкусом 30 гр 84 шт</t>
  </si>
  <si>
    <t>TORT "PRAJSKIY" 300 GR</t>
  </si>
  <si>
    <t>TORT "NAPOLEON" KLASSICHESKIY 340 GR</t>
  </si>
  <si>
    <t>Хлебцы с черной смородиной 80гр</t>
  </si>
  <si>
    <t>ТОРТ ПЛОМБИРНЫЙ 300 гр</t>
  </si>
  <si>
    <t>HLEBCI DR.KORNER РИСОВЫЕ СМЕТАНА ЗЕЛЕНЬ 80GR</t>
  </si>
  <si>
    <t>HLEBCI DR.KORNER РИСОВЫЕ ПАПРИКА И ЧИЛИ 80GR</t>
  </si>
  <si>
    <t>Мини-Маффин с начинкой Клубничном вкусом 465 г</t>
  </si>
  <si>
    <t>Хлебцы с черной смородиной без сахара 90гр</t>
  </si>
  <si>
    <t>Хлебцы с клюквой без сахара 90 гр</t>
  </si>
  <si>
    <t>HLEBCI DR.KORNER Ржанные классический  100GR</t>
  </si>
  <si>
    <t>DR. KORNER  Бальзамик и вяленные томаты 50 GR</t>
  </si>
  <si>
    <t>DR. KORNER МИНИ СМУЗИ-КЛУБНИКА БЕЗ САХАРА 40  GR</t>
  </si>
  <si>
    <t>DR. KORNER МИНИ СМУЗИ-ВИШНЯ БЕЗ САХАРА 40  GR</t>
  </si>
  <si>
    <t>Рулет Бисквитный с начинкой Вареная Сгущ. 175 гр</t>
  </si>
  <si>
    <t>Рулет Бисквитный Клубничный 175 гр</t>
  </si>
  <si>
    <t>Рулет Бисквитный с ягодный вкусом 175гр</t>
  </si>
  <si>
    <t>Пирожное Faretti клубничное 130г</t>
  </si>
  <si>
    <t>Пирожное Faretti шоколадное 130г</t>
  </si>
  <si>
    <t>Торт бисквитный Adagio "Малиновый" 300г</t>
  </si>
  <si>
    <t>Торт бисквитный Adagio "Шоколадный" 300г</t>
  </si>
  <si>
    <t>Торт бисквитный Adagio "Карамельный" 400г</t>
  </si>
  <si>
    <t>Торт бисквитный Adagio "Трюфельный" 400г</t>
  </si>
  <si>
    <t>Торт бисквитный Adagio "Черничный" 400г</t>
  </si>
  <si>
    <t>хлебпром</t>
  </si>
  <si>
    <t>Рулет Бисквитный с Шоколадным  вкусом 175гр</t>
  </si>
  <si>
    <t>Сгущенка Смоляночка СТО ж/б 370 гр</t>
  </si>
  <si>
    <t>Сгущенка варенная Смоляночка СТО ж/б 360 гр</t>
  </si>
  <si>
    <t>Сгущенка Смоляночка СТО.ПЭТ бутил 1,390 гр</t>
  </si>
  <si>
    <t>Сгущенка Смоляночка СТО.ПЭТ бутил 900 гр</t>
  </si>
  <si>
    <t>Сгущенка Смоляночка СТО.ПЭТ бутил 420гр</t>
  </si>
  <si>
    <t>Сгущенка Смоляночка СТО.ПЭТ бутил 320 гр</t>
  </si>
  <si>
    <t>Сгущенка Молочная душа СТО.ПЭТ бутил 900 гр</t>
  </si>
  <si>
    <t>Зеленый горошек Веселые овощы  400 гр</t>
  </si>
  <si>
    <t>Кукуруза сладкая Веселые овощы  400 гр</t>
  </si>
  <si>
    <t>Зеленый горошек Просто хороший продукт  400 гр</t>
  </si>
  <si>
    <t>Кукуруза сладкая Просто хороший продукт  400 гр</t>
  </si>
  <si>
    <t>Кетчуп Буздякский "Краснодарский" 260 г Дой-пак</t>
  </si>
  <si>
    <t>Кетчуп Буздякский "Татарский" 260 г Дой-пак</t>
  </si>
  <si>
    <t>Кетчуп Буздякский "Томатный" 260 г Дой-пак</t>
  </si>
  <si>
    <t xml:space="preserve"> Кетчуп Буздякский ПК "Острый" 260 г Дой-пак</t>
  </si>
  <si>
    <t>Кетчуп Буздякский "Шашлычный" 260 г Дой-пак</t>
  </si>
  <si>
    <t>Кетчупы 350 г Дой-Пак</t>
  </si>
  <si>
    <t>Кетчуп Буздякский "Краснодарский" 350 г Дой-пак</t>
  </si>
  <si>
    <t>Кетчуп Буздякский "Татарский" 350 г Дой-пак</t>
  </si>
  <si>
    <t>Кетчуп Буздякский "Томатный" 350 г Дой-пак</t>
  </si>
  <si>
    <t>Кетчуп Буздякский "Шашлычный" 350 г Дой-пак</t>
  </si>
  <si>
    <t>Кетчуп Буздякский "Краснодарский" 650 г ПНД</t>
  </si>
  <si>
    <t>Кетчуп Буздякский "Томатный" 650 г ПНД</t>
  </si>
  <si>
    <t>Кетчуп Буздякский "Шашлычный" 650 г ПНД</t>
  </si>
  <si>
    <t>Соус деликатесный фруктовый кисло-сладкий 190 г дой-пак</t>
  </si>
  <si>
    <t>Соус деликатесный соевый "Терияки" 190 г дой-пак</t>
  </si>
  <si>
    <t>Буздякский</t>
  </si>
  <si>
    <t>Соус майонезный " Сливочно-грибной" 190гр</t>
  </si>
  <si>
    <t>Соус майонезный " Сливочно-чесночный" 190гр</t>
  </si>
  <si>
    <t>Соус майонезный "Сырный" 190гр</t>
  </si>
  <si>
    <t>Соус Майонезный"Буздякский" Тар Тар 190гр</t>
  </si>
  <si>
    <t>Соус Майонезный "Буздякский" Цезарь 190гр</t>
  </si>
  <si>
    <t>Соус майонезный "Американский бургер" 190гр</t>
  </si>
  <si>
    <t>Майонез Провансаль 50% 800 г</t>
  </si>
  <si>
    <t>Майонез Провансаль 67% 800 г</t>
  </si>
  <si>
    <t>Майонез Провансаль 67% 420 г</t>
  </si>
  <si>
    <t>Майонез Оливковый 50% 380 г Дой-пак</t>
  </si>
  <si>
    <t>Майонез Провансаль 50% 380 г Дой-пак</t>
  </si>
  <si>
    <t>Майонез Оливковый 67% 190 г Дой-пак</t>
  </si>
  <si>
    <t xml:space="preserve">Заправка для Борща 350 г Твист                                        </t>
  </si>
  <si>
    <t xml:space="preserve">"Овощное рагу" 350 г Твист                                                    </t>
  </si>
  <si>
    <t xml:space="preserve">"Фасоль печеная в томатном соусе" 350 г Твист                 </t>
  </si>
  <si>
    <t xml:space="preserve">"Фасоль печеная с овощами" 350 г Твист                           </t>
  </si>
  <si>
    <t>Борщ МС 500 г СКО</t>
  </si>
  <si>
    <t>Гороховый МС 500 г СКО</t>
  </si>
  <si>
    <t>Рассольник МС 500 г СКО</t>
  </si>
  <si>
    <t>Солянка МС 500 г СКО</t>
  </si>
  <si>
    <t>Харчо МС 500 г СКО</t>
  </si>
  <si>
    <t>Щи МС 500 г СКО</t>
  </si>
  <si>
    <t xml:space="preserve">Суп Овощной МС 500гр                                         </t>
  </si>
  <si>
    <t xml:space="preserve">Суп чечевичный со свежей капустой МС 500гр   </t>
  </si>
  <si>
    <t>Борщ МС 500 г ТВИСТ</t>
  </si>
  <si>
    <t>Гороховый МС 500 г ТВИСТ</t>
  </si>
  <si>
    <t>Рассольник МС 500 г ТВИСТ</t>
  </si>
  <si>
    <t>Солянка МС 500 г ТВИСТ</t>
  </si>
  <si>
    <t>Харчо МС 500 г ТВИСТ</t>
  </si>
  <si>
    <t>Щи МС 500 г ТВИСТ</t>
  </si>
  <si>
    <t xml:space="preserve">Суп Овощной МС 500гр     ТВИСТ                                 </t>
  </si>
  <si>
    <t>Суп чечевичный со свежей капустой МС 500гр  ТВИСТ</t>
  </si>
  <si>
    <t>Паста "Буздякская" 3 кг (ведро)</t>
  </si>
  <si>
    <t>Горчица по-русски 190гр стекло твист</t>
  </si>
  <si>
    <t>Аджика Острая пряная 190г твист</t>
  </si>
  <si>
    <t>Хрен столовый 190г твист</t>
  </si>
  <si>
    <t>Клубника протертая с сахаром 280 г Дой-пак</t>
  </si>
  <si>
    <t xml:space="preserve">Малина протертая с сахаром 280 г Дой-пак </t>
  </si>
  <si>
    <t xml:space="preserve">Черника протертая с сахаром 280 г Дой-пак </t>
  </si>
  <si>
    <t xml:space="preserve">Вишня протертая с сахаром 280 г Дой-пак </t>
  </si>
  <si>
    <t xml:space="preserve">Облепиха протертая с сахаром 280 г Дой-пак </t>
  </si>
  <si>
    <t xml:space="preserve">Клюква протертая с сахаром 280 г Дой-пак </t>
  </si>
  <si>
    <t xml:space="preserve">Красная смородина протертая  ссахаром 280г Дой-пак </t>
  </si>
  <si>
    <t xml:space="preserve">Черная смородина протертая с сахаром 280г Дой-пак </t>
  </si>
  <si>
    <t>Соки и нектары 1 л Твист</t>
  </si>
  <si>
    <t>Нектар "Абрикосовый" с мякотью и сахаром 1 л Твист</t>
  </si>
  <si>
    <t>Нектар "Персиковый" с мякотью и сахаром 1 л Твист</t>
  </si>
  <si>
    <t>Нектар "Яблочно-виноградный" осветленный с сахаром 1 л Твист</t>
  </si>
  <si>
    <t>Нектар "Яблочный" осветленный с сахаром 1 л Твист</t>
  </si>
  <si>
    <t>Сок "Томатный" 1 л Твист</t>
  </si>
  <si>
    <t>Нектар "Абрикосовый" с мякотью и сахаром 3 л СКО</t>
  </si>
  <si>
    <t>Нектар "Персиковый"  с мякотью и сахаром 3 л СКО</t>
  </si>
  <si>
    <t>Нектар "Яблочно-виноградный" осветленный с сахаром 3 л СКО</t>
  </si>
  <si>
    <t>Нектар "Яблочный" осветленный с сахаром 3 л СКО</t>
  </si>
  <si>
    <t>Сок "Томатный" 3 л СКО</t>
  </si>
  <si>
    <t>Соус Буздякский "Чили" 670г СКО</t>
  </si>
  <si>
    <t>Лечо "Буздякский" 670 г СКО</t>
  </si>
  <si>
    <t>Соус Буздякский "Краснодарский" 670 г СКО</t>
  </si>
  <si>
    <t>Соус Буздякский "Башкирский" 670 г СКО</t>
  </si>
  <si>
    <t>Соус Буздякский "Томатный" 670 г СКО</t>
  </si>
  <si>
    <t>Соус Буздякский "Острый" 670 г СКО</t>
  </si>
  <si>
    <t>Соус Буздякский "Татарский" 670 г СКО</t>
  </si>
  <si>
    <t>Соус Буздякский "Шашлычный" 670 г СКО</t>
  </si>
  <si>
    <t>Соус Буздякский "Томатный с хреном " 670г СКО</t>
  </si>
  <si>
    <t>Соус Буздякский "Краснодарский" 500 г СКО</t>
  </si>
  <si>
    <t>Соус Буздякский "Острый" 500 г СКО</t>
  </si>
  <si>
    <t>Соус Буздякский "Татарский" 500 г СКО</t>
  </si>
  <si>
    <t>Соус Буздякский "Шашлычный" 500 г СКО</t>
  </si>
  <si>
    <t>Соус Буздякский "Краснодарский" 500 г Твист</t>
  </si>
  <si>
    <t>Соус Буздякский "Татарский" 500 г Твист</t>
  </si>
  <si>
    <t>Соус Буздякский "Томатный" 500 г Твист</t>
  </si>
  <si>
    <t>Соус Буздякский "Острый" 500 г Твист</t>
  </si>
  <si>
    <t>Соус Буздякский "Шашлычный" 500 г Твист</t>
  </si>
  <si>
    <t>Соус "Жареный чеснок" 350 г</t>
  </si>
  <si>
    <t>Соус "Аджика кавказская" 350 г</t>
  </si>
  <si>
    <t>Соус "Сацебели" 350 г</t>
  </si>
  <si>
    <t>Соус томатный "Буздякский" 350 г</t>
  </si>
  <si>
    <t>Соус томатный с базиликом 350 г</t>
  </si>
  <si>
    <t>Борщ МС 500 г СКО Домашние Запасы</t>
  </si>
  <si>
    <t>Гороховый МС 500 г СКО Домашние Запасы</t>
  </si>
  <si>
    <t>Рассольник МС 500 г СКО Домашние Запасы</t>
  </si>
  <si>
    <t>Солянка МС 500 г СКО Домашние Запасы</t>
  </si>
  <si>
    <t>Харчо МС 500 г СКО Домашние Запасы</t>
  </si>
  <si>
    <t>Щи МС 500 г СКО Домашние Запасы</t>
  </si>
  <si>
    <t>Соус Буздякский "Краснодарский" 500 г СКО Домашние Запасы</t>
  </si>
  <si>
    <t>Соус Буздякский "Шашлычный" 500 г СКО Домашние Запасы</t>
  </si>
  <si>
    <t>Соус Буздякский "Татарский" 500 г СКО Домашние Запасы</t>
  </si>
  <si>
    <t>Паста Буздякская 350 г ТВИСТ Домашние Запасы</t>
  </si>
  <si>
    <t>Паста Буздякская 500 г СКО Домашние Запасы</t>
  </si>
  <si>
    <t>Напиток сокосодержащий "Яблоко" 1л стекло</t>
  </si>
  <si>
    <t>Напиток сокосодержащий "Яблоко-виноград" 1л стекло</t>
  </si>
  <si>
    <t>Напиток сокосодержащий "Виноград" 1л стекло</t>
  </si>
  <si>
    <t>Напиток сокосодержащий "Яблоко" 3л стекло</t>
  </si>
  <si>
    <t>Напиток сокосодержащий "Яблоко-виноград" 3л стекло</t>
  </si>
  <si>
    <t>Напиток сокосодержащий "Виноград" 3л стекло</t>
  </si>
  <si>
    <t>Майонез Провансаль 67% 190 г Дой-пак</t>
  </si>
  <si>
    <t>HLEBCI DR.KORNER  ПАРМЕЗАН ПЕСТО 80GR</t>
  </si>
  <si>
    <t>HLEBCI DR.KORNER КУКУРУЗНЫЕ С МОРСКОЙ СОЛЬЮ 100 GR</t>
  </si>
  <si>
    <t>Торт бисквитный Adagio "Клубничный" 400г</t>
  </si>
  <si>
    <t>ШТ</t>
  </si>
  <si>
    <t>Рулет сдобный Сливочная корица с кешью 250гр</t>
  </si>
  <si>
    <t>Рулет сдобный Сочный мак 250гр</t>
  </si>
  <si>
    <t>Рулет Твист Пекан-кленовый сироп 300 гр</t>
  </si>
  <si>
    <t>Рулет Твист Миндальный крем 300 гр</t>
  </si>
  <si>
    <t>Карамель на палочке "ЧЕБУРАШКА" ш/б 12г*100шт*10</t>
  </si>
  <si>
    <t>Печенье "ЧЕБУРАШКА" сахарное 175 г. *35</t>
  </si>
  <si>
    <t>Печенье "ЧЕБУРАШКА" апельсиновое 180 г. *30</t>
  </si>
  <si>
    <t>Вафли "Простоквашино" сливочные 240 г.*14</t>
  </si>
  <si>
    <t>ПРОСТОКВАШИНО</t>
  </si>
  <si>
    <t>Вафли Десертные 4 кг</t>
  </si>
  <si>
    <t>Вафли Лимонные 4 кг</t>
  </si>
  <si>
    <t>Вафли Сливочные 1/190г*17</t>
  </si>
  <si>
    <t>Вафли Сливочные 4 кг</t>
  </si>
  <si>
    <t>Вафли Шоколад со сливками 4 кг</t>
  </si>
  <si>
    <t>Вафли Шоколадные 1/190г*17</t>
  </si>
  <si>
    <t>Вафли Шоколадные 4 кг</t>
  </si>
  <si>
    <t>Печенье затяжное Нежная Марья 5 кг</t>
  </si>
  <si>
    <t>Печенье затяжное Сырное 4 кг</t>
  </si>
  <si>
    <t>Печенье сахарное К чаю 5 кг</t>
  </si>
  <si>
    <t>Печенье сахарное Круиз 1/500 (тел) 0,5 кг</t>
  </si>
  <si>
    <t>Печенье сахарное Творожное 1/190г*22</t>
  </si>
  <si>
    <t>Печенье сахарное Топленое молоко 6 кг</t>
  </si>
  <si>
    <t>Печенье сахарное Фирменное 1/250г*20</t>
  </si>
  <si>
    <t>Печенье сахарное Халяльное (тел) 1,8 кг</t>
  </si>
  <si>
    <t>Печенье сахарное Халяльное 1/240г*20</t>
  </si>
  <si>
    <t>Печенье сахарное Шоколадная капелька 6 кг</t>
  </si>
  <si>
    <t>Печенье сдобное Mini Cookies с кусочками шоколада 1/200г*12</t>
  </si>
  <si>
    <t>Печенье сдобное Mini Cookies с шоколадом и апельсином 1/200г*12</t>
  </si>
  <si>
    <t>Печенье сдобное Mini Cookies с шоколадом и орехами 1/200г*12</t>
  </si>
  <si>
    <t>Печенье сдобное Вишня с шоколадом 1/250г*10</t>
  </si>
  <si>
    <t>Печенье сдобное Овсяное 3 кг</t>
  </si>
  <si>
    <t>Печенье сдобное Орехово-шоколадное 1/170г*15</t>
  </si>
  <si>
    <t>Печенье сдобное С вареной сгущенкой 1/250г*10</t>
  </si>
  <si>
    <t>Печенье сдобное С вареной сгущенкой 1/500г (тел н) 0,5 кг</t>
  </si>
  <si>
    <t>Печенье сдобное С клюквой и молочным шоколадом 1/170г*15</t>
  </si>
  <si>
    <t>Печенье сдобное С кусочками шоколада 1/170г*15</t>
  </si>
  <si>
    <t>Печенье сдобное Сливочно-шоколадное 1/170г*15</t>
  </si>
  <si>
    <t>Печенье сдобное Шоколадное 1/160г*15</t>
  </si>
  <si>
    <t>Печенье сдобное Шоколадное с апельсином 1/170г*15</t>
  </si>
  <si>
    <t>Печенье сдобное Шоколадное с орехами 1/170г*15</t>
  </si>
  <si>
    <t>Сушки Горчичные 1/180г*12</t>
  </si>
  <si>
    <t>Сушки мини GARIKI с луком 1/60г*18</t>
  </si>
  <si>
    <t>Сушки мини GARIKI с чесноком 1/60г*18</t>
  </si>
  <si>
    <t>Сушки С ароматом ванили 1/180г*12</t>
  </si>
  <si>
    <t>БРЯНКОНФИ</t>
  </si>
  <si>
    <t>Батончик со слив.-молоч. с карамелью и арах. в шок.глазури, 40 г.*96</t>
  </si>
  <si>
    <t>Печенье  Mini Cookies с шоколадом и хрустящим драже 1/200г*12</t>
  </si>
  <si>
    <t>Печенье  Овсяное с кунжутом и рисовыми шариками 1/200г*15</t>
  </si>
  <si>
    <t>Печенье  Mini Cookies с шоколадом и вишневыми цукатами 1/200г*12</t>
  </si>
  <si>
    <t>Зефир глаз. Шок.глазурью Простоквашино «В шоколаде» 180 г.*20</t>
  </si>
  <si>
    <t>Торт бисквитный со вкусом Тирамису 200г</t>
  </si>
  <si>
    <t>8809196523001</t>
  </si>
  <si>
    <t xml:space="preserve"> Сливки 500гр хи чанг Кореа</t>
  </si>
  <si>
    <t>Печенье сахарное "Топленое молоко" Простоквашино 240 г</t>
  </si>
  <si>
    <t>Конфеты неглаз. с молочным  корпусом «Простоквашино» 250 г</t>
  </si>
  <si>
    <t>Вафли «Нежные мини-вафли «Сливочные» Простоквашино, 125 г</t>
  </si>
  <si>
    <t>Вафли «Со вкусом шоколада» Простоквашино, 200 г</t>
  </si>
  <si>
    <t>HLEBCI DR.KORNER  Гречневый клубника и йогурт  34 GR</t>
  </si>
  <si>
    <t>HLEBCI DR.KORNER  Гречневый  молочный шоколад 34 GR</t>
  </si>
  <si>
    <t>HLEBCI DR.KORNER  Злаковый клубника и йогурт  34 GR</t>
  </si>
  <si>
    <t>HLEBCI DR.KORNER  Злаковый апельсин и йогурт  34 GR</t>
  </si>
  <si>
    <t>HLEBCI DR.KORNER  Злаковый фруктово-йогурт микс 34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</si>
</sst>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F800]dddd\,\ mmmm\ dd\,\ yyyy"/>
    <numFmt numFmtId="167" formatCode="_-* #,##0_р_._-;\-* #,##0_р_._-;_-* &quot;-&quot;??_р_._-;_-@_-"/>
  </numFmts>
  <fonts count="36" x14ac:knownFonts="1">
    <font>
      <sz val="12"/>
      <color theme="1"/>
      <name val="Times New Roman"/>
      <family val="2"/>
      <charset val="204"/>
    </font>
    <font>
      <b/>
      <sz val="12"/>
      <color indexed="8"/>
      <name val="Times New Roman"/>
      <family val="1"/>
      <charset val="204"/>
    </font>
    <font>
      <b/>
      <sz val="10"/>
      <color indexed="8"/>
      <name val="Times New Roman"/>
      <family val="2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2"/>
      <charset val="204"/>
    </font>
    <font>
      <sz val="14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0"/>
      <color indexed="8"/>
      <name val="Times New Roman"/>
      <family val="2"/>
      <charset val="204"/>
    </font>
    <font>
      <b/>
      <sz val="11"/>
      <color indexed="8"/>
      <name val="Times New Roman"/>
      <family val="1"/>
      <charset val="204"/>
    </font>
    <font>
      <sz val="14"/>
      <color indexed="8"/>
      <name val="Times New Roman"/>
      <family val="2"/>
      <charset val="204"/>
    </font>
    <font>
      <b/>
      <sz val="14"/>
      <color indexed="8"/>
      <name val="Times New Roman"/>
      <family val="2"/>
      <charset val="204"/>
    </font>
    <font>
      <b/>
      <sz val="11"/>
      <color indexed="8"/>
      <name val="Times New Roman"/>
      <family val="2"/>
      <charset val="204"/>
    </font>
    <font>
      <b/>
      <sz val="9"/>
      <color indexed="8"/>
      <name val="Times New Roman"/>
      <family val="2"/>
      <charset val="204"/>
    </font>
    <font>
      <b/>
      <sz val="9"/>
      <color indexed="8"/>
      <name val="Times New Roman"/>
      <family val="1"/>
      <charset val="204"/>
    </font>
    <font>
      <b/>
      <sz val="14"/>
      <color indexed="8"/>
      <name val="Arial"/>
      <family val="2"/>
      <charset val="204"/>
    </font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2"/>
      <charset val="204"/>
    </font>
    <font>
      <b/>
      <sz val="16"/>
      <color indexed="8"/>
      <name val="Times New Roman"/>
      <family val="1"/>
      <charset val="204"/>
    </font>
    <font>
      <b/>
      <sz val="12"/>
      <color indexed="8"/>
      <name val="Times New Roman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13"/>
      <color indexed="8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6"/>
      <color indexed="8"/>
      <name val="Times New Roman"/>
      <family val="2"/>
      <charset val="204"/>
    </font>
    <font>
      <b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16" fillId="0" borderId="0"/>
    <xf numFmtId="165" fontId="4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4" fillId="0" borderId="0" xfId="1" applyFont="1" applyAlignment="1">
      <alignment horizontal="left"/>
    </xf>
    <xf numFmtId="0" fontId="5" fillId="0" borderId="0" xfId="0" applyFont="1" applyAlignment="1">
      <alignment horizont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4" fillId="0" borderId="1" xfId="3" applyNumberFormat="1" applyFont="1" applyBorder="1" applyAlignment="1">
      <alignment horizontal="center"/>
    </xf>
    <xf numFmtId="167" fontId="3" fillId="0" borderId="1" xfId="3" applyNumberFormat="1" applyFont="1" applyBorder="1" applyAlignment="1">
      <alignment horizontal="left"/>
    </xf>
    <xf numFmtId="167" fontId="3" fillId="0" borderId="1" xfId="3" applyNumberFormat="1" applyFont="1" applyBorder="1" applyAlignment="1">
      <alignment horizontal="center"/>
    </xf>
    <xf numFmtId="167" fontId="7" fillId="0" borderId="1" xfId="3" applyNumberFormat="1" applyFont="1" applyBorder="1" applyAlignment="1"/>
    <xf numFmtId="167" fontId="8" fillId="0" borderId="1" xfId="3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1" fillId="0" borderId="1" xfId="3" applyNumberFormat="1" applyFont="1" applyBorder="1" applyAlignment="1">
      <alignment horizontal="center"/>
    </xf>
    <xf numFmtId="167" fontId="9" fillId="0" borderId="1" xfId="3" applyNumberFormat="1" applyFont="1" applyBorder="1" applyAlignment="1"/>
    <xf numFmtId="49" fontId="1" fillId="0" borderId="1" xfId="0" applyNumberFormat="1" applyFont="1" applyBorder="1" applyAlignment="1">
      <alignment horizontal="center"/>
    </xf>
    <xf numFmtId="167" fontId="9" fillId="0" borderId="1" xfId="3" applyNumberFormat="1" applyFont="1" applyBorder="1" applyAlignment="1">
      <alignment horizontal="left"/>
    </xf>
    <xf numFmtId="167" fontId="9" fillId="0" borderId="1" xfId="3" applyNumberFormat="1" applyFont="1" applyBorder="1" applyAlignment="1">
      <alignment horizontal="center"/>
    </xf>
    <xf numFmtId="167" fontId="4" fillId="0" borderId="1" xfId="3" applyNumberFormat="1" applyFont="1" applyBorder="1" applyAlignment="1">
      <alignment horizontal="left"/>
    </xf>
    <xf numFmtId="167" fontId="3" fillId="0" borderId="1" xfId="3" applyNumberFormat="1" applyFont="1" applyBorder="1" applyAlignment="1"/>
    <xf numFmtId="1" fontId="1" fillId="0" borderId="1" xfId="3" applyNumberFormat="1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167" fontId="8" fillId="0" borderId="1" xfId="3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67" fontId="3" fillId="0" borderId="1" xfId="3" applyNumberFormat="1" applyFont="1" applyFill="1" applyBorder="1" applyAlignment="1">
      <alignment horizontal="left" wrapText="1"/>
    </xf>
    <xf numFmtId="167" fontId="9" fillId="0" borderId="1" xfId="3" applyNumberFormat="1" applyFont="1" applyFill="1" applyBorder="1" applyAlignment="1">
      <alignment horizontal="left" wrapText="1"/>
    </xf>
    <xf numFmtId="49" fontId="9" fillId="0" borderId="1" xfId="0" applyNumberFormat="1" applyFont="1" applyBorder="1" applyAlignment="1">
      <alignment horizontal="center"/>
    </xf>
    <xf numFmtId="167" fontId="8" fillId="0" borderId="0" xfId="3" applyNumberFormat="1" applyFont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1" fillId="0" borderId="3" xfId="0" applyNumberFormat="1" applyFont="1" applyBorder="1" applyAlignment="1">
      <alignment horizontal="center"/>
    </xf>
    <xf numFmtId="167" fontId="9" fillId="0" borderId="4" xfId="3" applyNumberFormat="1" applyFont="1" applyBorder="1" applyAlignment="1"/>
    <xf numFmtId="167" fontId="7" fillId="0" borderId="4" xfId="3" applyNumberFormat="1" applyFont="1" applyBorder="1" applyAlignment="1"/>
    <xf numFmtId="167" fontId="10" fillId="4" borderId="1" xfId="0" applyNumberFormat="1" applyFont="1" applyFill="1" applyBorder="1" applyAlignment="1">
      <alignment horizontal="left"/>
    </xf>
    <xf numFmtId="167" fontId="11" fillId="4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167" fontId="1" fillId="0" borderId="1" xfId="3" applyNumberFormat="1" applyFont="1" applyBorder="1" applyAlignment="1">
      <alignment horizontal="left"/>
    </xf>
    <xf numFmtId="167" fontId="1" fillId="0" borderId="1" xfId="3" applyNumberFormat="1" applyFont="1" applyBorder="1" applyAlignment="1"/>
    <xf numFmtId="0" fontId="20" fillId="0" borderId="1" xfId="0" applyFont="1" applyBorder="1" applyAlignment="1">
      <alignment horizontal="center"/>
    </xf>
    <xf numFmtId="167" fontId="3" fillId="0" borderId="1" xfId="3" applyNumberFormat="1" applyFont="1" applyFill="1" applyBorder="1" applyAlignment="1">
      <alignment wrapText="1"/>
    </xf>
    <xf numFmtId="167" fontId="1" fillId="0" borderId="4" xfId="3" applyNumberFormat="1" applyFont="1" applyBorder="1" applyAlignment="1"/>
    <xf numFmtId="167" fontId="9" fillId="0" borderId="1" xfId="3" applyNumberFormat="1" applyFont="1" applyFill="1" applyBorder="1" applyAlignment="1">
      <alignment wrapText="1"/>
    </xf>
    <xf numFmtId="49" fontId="19" fillId="5" borderId="1" xfId="2" applyNumberFormat="1" applyFont="1" applyFill="1" applyBorder="1" applyAlignment="1">
      <alignment horizontal="center"/>
    </xf>
    <xf numFmtId="0" fontId="21" fillId="5" borderId="4" xfId="2" applyFont="1" applyFill="1" applyBorder="1" applyAlignment="1">
      <alignment wrapText="1"/>
    </xf>
    <xf numFmtId="0" fontId="22" fillId="0" borderId="0" xfId="0" applyFont="1" applyAlignment="1">
      <alignment horizontal="left"/>
    </xf>
    <xf numFmtId="167" fontId="13" fillId="0" borderId="1" xfId="3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3" applyNumberFormat="1" applyFont="1" applyBorder="1" applyAlignment="1">
      <alignment horizontal="center"/>
    </xf>
    <xf numFmtId="167" fontId="14" fillId="0" borderId="1" xfId="3" applyNumberFormat="1" applyFont="1" applyBorder="1" applyAlignment="1">
      <alignment horizontal="center"/>
    </xf>
    <xf numFmtId="38" fontId="15" fillId="5" borderId="0" xfId="0" applyNumberFormat="1" applyFont="1" applyFill="1"/>
    <xf numFmtId="14" fontId="6" fillId="3" borderId="1" xfId="0" applyNumberFormat="1" applyFont="1" applyFill="1" applyBorder="1" applyAlignment="1">
      <alignment horizontal="center" vertical="center"/>
    </xf>
    <xf numFmtId="167" fontId="1" fillId="5" borderId="1" xfId="3" applyNumberFormat="1" applyFont="1" applyFill="1" applyBorder="1" applyAlignment="1"/>
    <xf numFmtId="1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1" applyFont="1" applyAlignment="1">
      <alignment horizontal="left"/>
    </xf>
    <xf numFmtId="1" fontId="6" fillId="0" borderId="1" xfId="3" applyNumberFormat="1" applyFont="1" applyBorder="1" applyAlignment="1">
      <alignment horizontal="center"/>
    </xf>
    <xf numFmtId="167" fontId="6" fillId="0" borderId="1" xfId="3" applyNumberFormat="1" applyFont="1" applyBorder="1" applyAlignment="1">
      <alignment horizontal="center"/>
    </xf>
    <xf numFmtId="167" fontId="6" fillId="0" borderId="1" xfId="3" applyNumberFormat="1" applyFont="1" applyBorder="1" applyAlignment="1">
      <alignment horizontal="left"/>
    </xf>
    <xf numFmtId="167" fontId="6" fillId="0" borderId="1" xfId="3" applyNumberFormat="1" applyFont="1" applyBorder="1" applyAlignment="1"/>
    <xf numFmtId="167" fontId="6" fillId="5" borderId="1" xfId="3" applyNumberFormat="1" applyFont="1" applyFill="1" applyBorder="1" applyAlignment="1"/>
    <xf numFmtId="167" fontId="6" fillId="5" borderId="1" xfId="3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left"/>
    </xf>
    <xf numFmtId="0" fontId="11" fillId="0" borderId="5" xfId="0" applyFont="1" applyBorder="1" applyAlignment="1">
      <alignment horizontal="left"/>
    </xf>
    <xf numFmtId="2" fontId="24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8" fillId="0" borderId="4" xfId="0" applyNumberFormat="1" applyFont="1" applyBorder="1" applyAlignment="1">
      <alignment horizontal="left"/>
    </xf>
    <xf numFmtId="38" fontId="15" fillId="5" borderId="1" xfId="0" applyNumberFormat="1" applyFont="1" applyFill="1" applyBorder="1"/>
    <xf numFmtId="38" fontId="15" fillId="6" borderId="1" xfId="0" applyNumberFormat="1" applyFont="1" applyFill="1" applyBorder="1"/>
    <xf numFmtId="167" fontId="5" fillId="0" borderId="1" xfId="3" applyNumberFormat="1" applyFont="1" applyBorder="1" applyAlignment="1"/>
    <xf numFmtId="167" fontId="5" fillId="0" borderId="1" xfId="3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7" fontId="25" fillId="0" borderId="1" xfId="3" applyNumberFormat="1" applyFont="1" applyBorder="1" applyAlignment="1">
      <alignment horizontal="left"/>
    </xf>
    <xf numFmtId="167" fontId="26" fillId="0" borderId="1" xfId="3" applyNumberFormat="1" applyFont="1" applyBorder="1" applyAlignment="1">
      <alignment horizontal="center"/>
    </xf>
    <xf numFmtId="167" fontId="1" fillId="5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" fontId="28" fillId="5" borderId="7" xfId="0" applyNumberFormat="1" applyFont="1" applyFill="1" applyBorder="1" applyAlignment="1" applyProtection="1">
      <alignment horizontal="center"/>
      <protection locked="0"/>
    </xf>
    <xf numFmtId="1" fontId="28" fillId="0" borderId="7" xfId="0" applyNumberFormat="1" applyFont="1" applyBorder="1" applyAlignment="1" applyProtection="1">
      <alignment horizontal="center"/>
      <protection locked="0"/>
    </xf>
    <xf numFmtId="167" fontId="29" fillId="0" borderId="1" xfId="3" applyNumberFormat="1" applyFont="1" applyBorder="1" applyAlignment="1">
      <alignment horizontal="left"/>
    </xf>
    <xf numFmtId="1" fontId="28" fillId="5" borderId="7" xfId="0" applyNumberFormat="1" applyFont="1" applyFill="1" applyBorder="1" applyAlignment="1" applyProtection="1">
      <alignment horizontal="center" vertical="center"/>
      <protection locked="0"/>
    </xf>
    <xf numFmtId="1" fontId="28" fillId="0" borderId="7" xfId="0" applyNumberFormat="1" applyFont="1" applyBorder="1" applyAlignment="1" applyProtection="1">
      <alignment horizontal="center" vertical="center"/>
      <protection locked="0"/>
    </xf>
    <xf numFmtId="1" fontId="28" fillId="5" borderId="1" xfId="0" applyNumberFormat="1" applyFont="1" applyFill="1" applyBorder="1" applyAlignment="1" applyProtection="1">
      <alignment horizontal="center" vertical="center"/>
      <protection locked="0"/>
    </xf>
    <xf numFmtId="0" fontId="30" fillId="5" borderId="1" xfId="0" applyFont="1" applyFill="1" applyBorder="1" applyAlignment="1" applyProtection="1">
      <alignment horizontal="left"/>
      <protection locked="0"/>
    </xf>
    <xf numFmtId="0" fontId="30" fillId="5" borderId="0" xfId="0" applyFont="1" applyFill="1" applyAlignment="1" applyProtection="1">
      <alignment horizontal="left"/>
      <protection locked="0"/>
    </xf>
    <xf numFmtId="167" fontId="6" fillId="5" borderId="1" xfId="3" applyNumberFormat="1" applyFont="1" applyFill="1" applyBorder="1" applyAlignment="1">
      <alignment horizontal="left"/>
    </xf>
    <xf numFmtId="1" fontId="6" fillId="0" borderId="1" xfId="0" applyNumberFormat="1" applyFont="1" applyBorder="1" applyAlignment="1">
      <alignment horizontal="center"/>
    </xf>
    <xf numFmtId="167" fontId="25" fillId="0" borderId="1" xfId="3" applyNumberFormat="1" applyFont="1" applyBorder="1" applyAlignment="1">
      <alignment horizontal="center"/>
    </xf>
    <xf numFmtId="167" fontId="25" fillId="5" borderId="1" xfId="3" applyNumberFormat="1" applyFont="1" applyFill="1" applyBorder="1" applyAlignment="1"/>
    <xf numFmtId="1" fontId="25" fillId="0" borderId="1" xfId="3" applyNumberFormat="1" applyFont="1" applyBorder="1" applyAlignment="1">
      <alignment horizontal="center"/>
    </xf>
    <xf numFmtId="167" fontId="25" fillId="0" borderId="1" xfId="3" applyNumberFormat="1" applyFont="1" applyBorder="1" applyAlignment="1"/>
    <xf numFmtId="167" fontId="25" fillId="5" borderId="1" xfId="3" applyNumberFormat="1" applyFont="1" applyFill="1" applyBorder="1" applyAlignment="1">
      <alignment horizontal="left"/>
    </xf>
    <xf numFmtId="167" fontId="25" fillId="5" borderId="1" xfId="3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7" fontId="6" fillId="0" borderId="4" xfId="3" applyNumberFormat="1" applyFont="1" applyBorder="1" applyAlignment="1"/>
    <xf numFmtId="0" fontId="6" fillId="0" borderId="1" xfId="0" applyFont="1" applyBorder="1"/>
    <xf numFmtId="167" fontId="6" fillId="0" borderId="4" xfId="3" applyNumberFormat="1" applyFont="1" applyBorder="1" applyAlignment="1">
      <alignment horizontal="center"/>
    </xf>
    <xf numFmtId="167" fontId="5" fillId="0" borderId="4" xfId="3" applyNumberFormat="1" applyFont="1" applyBorder="1" applyAlignment="1"/>
    <xf numFmtId="167" fontId="27" fillId="0" borderId="1" xfId="3" applyNumberFormat="1" applyFont="1" applyBorder="1" applyAlignment="1">
      <alignment horizontal="left"/>
    </xf>
    <xf numFmtId="167" fontId="29" fillId="5" borderId="1" xfId="3" applyNumberFormat="1" applyFont="1" applyFill="1" applyBorder="1" applyAlignment="1">
      <alignment horizontal="left"/>
    </xf>
    <xf numFmtId="167" fontId="1" fillId="5" borderId="1" xfId="3" applyNumberFormat="1" applyFont="1" applyFill="1" applyBorder="1" applyAlignment="1">
      <alignment horizontal="left"/>
    </xf>
    <xf numFmtId="167" fontId="31" fillId="0" borderId="1" xfId="3" applyNumberFormat="1" applyFont="1" applyBorder="1" applyAlignment="1">
      <alignment horizontal="center"/>
    </xf>
    <xf numFmtId="3" fontId="25" fillId="0" borderId="0" xfId="0" applyNumberFormat="1" applyFont="1" applyAlignment="1">
      <alignment horizontal="left"/>
    </xf>
    <xf numFmtId="167" fontId="6" fillId="0" borderId="1" xfId="3" applyNumberFormat="1" applyFont="1" applyFill="1" applyBorder="1" applyAlignment="1">
      <alignment horizontal="left" wrapText="1"/>
    </xf>
    <xf numFmtId="167" fontId="1" fillId="0" borderId="1" xfId="3" applyNumberFormat="1" applyFont="1" applyFill="1" applyBorder="1" applyAlignment="1">
      <alignment horizontal="left" wrapText="1"/>
    </xf>
    <xf numFmtId="1" fontId="15" fillId="0" borderId="1" xfId="3" applyNumberFormat="1" applyFont="1" applyBorder="1" applyAlignment="1">
      <alignment horizontal="center"/>
    </xf>
    <xf numFmtId="1" fontId="15" fillId="0" borderId="7" xfId="3" applyNumberFormat="1" applyFont="1" applyBorder="1" applyAlignment="1">
      <alignment horizontal="center"/>
    </xf>
    <xf numFmtId="1" fontId="32" fillId="5" borderId="7" xfId="0" applyNumberFormat="1" applyFont="1" applyFill="1" applyBorder="1" applyAlignment="1">
      <alignment horizontal="center" vertical="center"/>
    </xf>
    <xf numFmtId="1" fontId="32" fillId="5" borderId="7" xfId="0" applyNumberFormat="1" applyFont="1" applyFill="1" applyBorder="1" applyAlignment="1" applyProtection="1">
      <alignment horizontal="center"/>
      <protection locked="0"/>
    </xf>
    <xf numFmtId="1" fontId="32" fillId="5" borderId="7" xfId="0" applyNumberFormat="1" applyFont="1" applyFill="1" applyBorder="1" applyAlignment="1" applyProtection="1">
      <alignment horizontal="center" vertical="center"/>
      <protection locked="0"/>
    </xf>
    <xf numFmtId="1" fontId="32" fillId="0" borderId="7" xfId="0" applyNumberFormat="1" applyFont="1" applyBorder="1" applyAlignment="1" applyProtection="1">
      <alignment horizontal="center"/>
      <protection locked="0"/>
    </xf>
    <xf numFmtId="1" fontId="32" fillId="0" borderId="7" xfId="0" applyNumberFormat="1" applyFont="1" applyBorder="1" applyAlignment="1" applyProtection="1">
      <alignment horizontal="center" vertical="center"/>
      <protection locked="0"/>
    </xf>
    <xf numFmtId="1" fontId="33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top"/>
    </xf>
    <xf numFmtId="1" fontId="33" fillId="5" borderId="1" xfId="0" applyNumberFormat="1" applyFont="1" applyFill="1" applyBorder="1" applyAlignment="1">
      <alignment horizontal="center" vertical="center"/>
    </xf>
    <xf numFmtId="1" fontId="33" fillId="0" borderId="7" xfId="0" applyNumberFormat="1" applyFont="1" applyBorder="1" applyAlignment="1">
      <alignment horizontal="center" vertical="center"/>
    </xf>
    <xf numFmtId="1" fontId="32" fillId="0" borderId="7" xfId="0" applyNumberFormat="1" applyFont="1" applyBorder="1" applyAlignment="1">
      <alignment horizontal="center"/>
    </xf>
    <xf numFmtId="0" fontId="34" fillId="5" borderId="1" xfId="0" applyFont="1" applyFill="1" applyBorder="1" applyAlignment="1" applyProtection="1">
      <alignment horizontal="left"/>
      <protection locked="0"/>
    </xf>
    <xf numFmtId="0" fontId="19" fillId="5" borderId="1" xfId="0" applyFont="1" applyFill="1" applyBorder="1" applyAlignment="1" applyProtection="1">
      <alignment horizontal="left"/>
      <protection locked="0"/>
    </xf>
    <xf numFmtId="167" fontId="27" fillId="0" borderId="1" xfId="3" applyNumberFormat="1" applyFont="1" applyBorder="1" applyAlignment="1">
      <alignment horizontal="center"/>
    </xf>
    <xf numFmtId="167" fontId="35" fillId="0" borderId="1" xfId="3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left"/>
    </xf>
    <xf numFmtId="1" fontId="8" fillId="0" borderId="6" xfId="0" applyNumberFormat="1" applyFont="1" applyBorder="1" applyAlignment="1">
      <alignment horizontal="left"/>
    </xf>
    <xf numFmtId="1" fontId="8" fillId="0" borderId="4" xfId="0" applyNumberFormat="1" applyFont="1" applyBorder="1" applyAlignment="1">
      <alignment horizontal="left"/>
    </xf>
  </cellXfs>
  <cellStyles count="4">
    <cellStyle name="Денежный" xfId="1" builtinId="4"/>
    <cellStyle name="Обычный" xfId="0" builtinId="0"/>
    <cellStyle name="Обычный 2" xfId="2" xr:uid="{00000000-0005-0000-0000-000002000000}"/>
    <cellStyle name="Финансовый" xfId="3" builtinId="3"/>
  </cellStyles>
  <dxfs count="0"/>
  <tableStyles count="0" defaultTableStyle="TableStyleMedium2" defaultPivotStyle="PivotStyleLight16"/>
  <colors>
    <mruColors>
      <color rgb="FFCCFFFF"/>
      <color rgb="FF66FFFF"/>
      <color rgb="FF66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B2:L739"/>
  <sheetViews>
    <sheetView tabSelected="1" zoomScaleNormal="100" workbookViewId="0">
      <pane ySplit="7" topLeftCell="A8" activePane="bottomLeft" state="frozen"/>
      <selection activeCell="B608" sqref="B608"/>
      <selection pane="bottomLeft" activeCell="E5" sqref="E5"/>
    </sheetView>
  </sheetViews>
  <sheetFormatPr defaultColWidth="7.5" defaultRowHeight="15.75" x14ac:dyDescent="0.25"/>
  <cols>
    <col min="1" max="1" width="0.625" style="1" customWidth="1"/>
    <col min="2" max="2" width="20.625" style="38" customWidth="1"/>
    <col min="3" max="3" width="16.125" style="38" customWidth="1"/>
    <col min="4" max="4" width="74.625" style="39" customWidth="1"/>
    <col min="5" max="5" width="12.375" style="1" customWidth="1"/>
    <col min="6" max="6" width="9.75" style="1" customWidth="1"/>
    <col min="7" max="7" width="8.125" style="1" bestFit="1" customWidth="1"/>
    <col min="8" max="8" width="16.25" style="1" customWidth="1"/>
    <col min="9" max="9" width="3.5" style="1" customWidth="1"/>
    <col min="10" max="10" width="1.5" style="1" customWidth="1"/>
    <col min="11" max="16384" width="7.5" style="1"/>
  </cols>
  <sheetData>
    <row r="2" spans="2:10" ht="0.75" customHeight="1" x14ac:dyDescent="0.25"/>
    <row r="3" spans="2:10" ht="24" customHeight="1" x14ac:dyDescent="0.3">
      <c r="B3" s="60" t="s">
        <v>466</v>
      </c>
      <c r="C3" s="78" t="s">
        <v>467</v>
      </c>
      <c r="D3" s="114"/>
      <c r="E3" s="62"/>
      <c r="F3" s="62"/>
      <c r="G3" s="62"/>
      <c r="H3" s="62"/>
    </row>
    <row r="4" spans="2:10" ht="18.75" x14ac:dyDescent="0.3">
      <c r="B4" s="63"/>
      <c r="C4" s="64"/>
      <c r="D4" s="65" t="s">
        <v>561</v>
      </c>
      <c r="E4" s="66"/>
      <c r="F4" s="66"/>
      <c r="G4" s="66"/>
      <c r="H4" s="66"/>
    </row>
    <row r="5" spans="2:10" ht="18.75" x14ac:dyDescent="0.3">
      <c r="B5" s="63" t="s">
        <v>542</v>
      </c>
      <c r="C5" s="64"/>
      <c r="D5" s="65" t="s">
        <v>655</v>
      </c>
      <c r="E5" s="66"/>
      <c r="F5" s="66"/>
      <c r="G5" s="66"/>
      <c r="H5" s="66"/>
    </row>
    <row r="6" spans="2:10" s="4" customFormat="1" ht="18.75" x14ac:dyDescent="0.3">
      <c r="B6" s="68"/>
      <c r="C6" s="68"/>
      <c r="D6" s="68"/>
      <c r="E6" s="68"/>
      <c r="F6" s="68"/>
      <c r="G6" s="68"/>
      <c r="H6" s="68"/>
    </row>
    <row r="7" spans="2:10" ht="17.25" customHeight="1" x14ac:dyDescent="0.3">
      <c r="B7" s="58">
        <f ca="1">TODAY()</f>
        <v>46247</v>
      </c>
      <c r="C7" s="6" t="s">
        <v>438</v>
      </c>
      <c r="D7" s="7" t="s">
        <v>1</v>
      </c>
      <c r="E7" s="7" t="s">
        <v>2</v>
      </c>
      <c r="F7" s="7" t="s">
        <v>3</v>
      </c>
      <c r="G7" s="7" t="s">
        <v>462</v>
      </c>
      <c r="H7" s="7" t="s">
        <v>4</v>
      </c>
      <c r="I7" s="5"/>
      <c r="J7" s="5"/>
    </row>
    <row r="8" spans="2:10" ht="20.25" hidden="1" x14ac:dyDescent="0.3">
      <c r="B8" s="117">
        <v>4780019430017</v>
      </c>
      <c r="C8" s="99" t="s">
        <v>445</v>
      </c>
      <c r="D8" s="85" t="s">
        <v>5</v>
      </c>
      <c r="E8" s="99">
        <v>1100</v>
      </c>
      <c r="F8" s="99"/>
      <c r="G8" s="70" t="s">
        <v>819</v>
      </c>
      <c r="H8" s="99">
        <f t="shared" ref="H8:H117" si="0">+F8*E8</f>
        <v>0</v>
      </c>
      <c r="I8" s="1">
        <v>1</v>
      </c>
    </row>
    <row r="9" spans="2:10" ht="20.25" hidden="1" x14ac:dyDescent="0.3">
      <c r="B9" s="117">
        <v>4780019430116</v>
      </c>
      <c r="C9" s="99" t="s">
        <v>445</v>
      </c>
      <c r="D9" s="85" t="s">
        <v>9</v>
      </c>
      <c r="E9" s="102">
        <v>1100</v>
      </c>
      <c r="F9" s="100"/>
      <c r="G9" s="70" t="s">
        <v>819</v>
      </c>
      <c r="H9" s="102">
        <f t="shared" si="0"/>
        <v>0</v>
      </c>
      <c r="I9" s="1">
        <v>1</v>
      </c>
    </row>
    <row r="10" spans="2:10" ht="18.75" hidden="1" x14ac:dyDescent="0.3">
      <c r="B10" s="84" t="s">
        <v>513</v>
      </c>
      <c r="C10" s="70" t="s">
        <v>445</v>
      </c>
      <c r="D10" s="71" t="s">
        <v>514</v>
      </c>
      <c r="E10" s="70">
        <v>730</v>
      </c>
      <c r="F10" s="72"/>
      <c r="G10" s="70" t="s">
        <v>462</v>
      </c>
      <c r="H10" s="70">
        <f t="shared" si="0"/>
        <v>0</v>
      </c>
      <c r="I10" s="1">
        <v>0</v>
      </c>
    </row>
    <row r="11" spans="2:10" ht="18.75" hidden="1" x14ac:dyDescent="0.3">
      <c r="B11" s="69">
        <v>1000016175</v>
      </c>
      <c r="C11" s="70" t="s">
        <v>445</v>
      </c>
      <c r="D11" s="71" t="s">
        <v>6</v>
      </c>
      <c r="E11" s="70">
        <v>1400</v>
      </c>
      <c r="F11" s="74"/>
      <c r="G11" s="70" t="s">
        <v>462</v>
      </c>
      <c r="H11" s="70">
        <f t="shared" si="0"/>
        <v>0</v>
      </c>
      <c r="I11" s="1">
        <v>0</v>
      </c>
    </row>
    <row r="12" spans="2:10" ht="18.75" hidden="1" x14ac:dyDescent="0.3">
      <c r="B12" s="14" t="s">
        <v>7</v>
      </c>
      <c r="C12" s="56" t="s">
        <v>445</v>
      </c>
      <c r="D12" s="9" t="s">
        <v>8</v>
      </c>
      <c r="E12" s="10">
        <v>545</v>
      </c>
      <c r="F12" s="11"/>
      <c r="G12" s="70" t="s">
        <v>462</v>
      </c>
      <c r="H12" s="12">
        <f t="shared" si="0"/>
        <v>0</v>
      </c>
      <c r="I12" s="1">
        <v>0</v>
      </c>
    </row>
    <row r="13" spans="2:10" ht="18.75" hidden="1" x14ac:dyDescent="0.3">
      <c r="B13" s="69">
        <v>1000016184</v>
      </c>
      <c r="C13" s="70" t="s">
        <v>445</v>
      </c>
      <c r="D13" s="71" t="s">
        <v>9</v>
      </c>
      <c r="E13" s="70">
        <v>1000</v>
      </c>
      <c r="F13" s="74"/>
      <c r="G13" s="70" t="s">
        <v>462</v>
      </c>
      <c r="H13" s="70">
        <f t="shared" si="0"/>
        <v>0</v>
      </c>
      <c r="I13" s="1">
        <v>0</v>
      </c>
    </row>
    <row r="14" spans="2:10" ht="18.75" hidden="1" x14ac:dyDescent="0.3">
      <c r="B14" s="69">
        <v>1000016178</v>
      </c>
      <c r="C14" s="70" t="s">
        <v>445</v>
      </c>
      <c r="D14" s="71" t="s">
        <v>10</v>
      </c>
      <c r="E14" s="70">
        <v>385</v>
      </c>
      <c r="F14" s="74"/>
      <c r="G14" s="70" t="s">
        <v>462</v>
      </c>
      <c r="H14" s="70">
        <f t="shared" si="0"/>
        <v>0</v>
      </c>
      <c r="I14" s="1">
        <v>0</v>
      </c>
    </row>
    <row r="15" spans="2:10" ht="18.75" hidden="1" x14ac:dyDescent="0.3">
      <c r="B15" s="69">
        <v>1000016181</v>
      </c>
      <c r="C15" s="70" t="s">
        <v>445</v>
      </c>
      <c r="D15" s="71" t="s">
        <v>11</v>
      </c>
      <c r="E15" s="70">
        <v>400</v>
      </c>
      <c r="F15" s="70"/>
      <c r="G15" s="70" t="s">
        <v>462</v>
      </c>
      <c r="H15" s="70">
        <f t="shared" si="0"/>
        <v>0</v>
      </c>
      <c r="I15" s="1">
        <v>0</v>
      </c>
    </row>
    <row r="16" spans="2:10" ht="18.75" hidden="1" x14ac:dyDescent="0.3">
      <c r="B16" s="69">
        <v>1000016194</v>
      </c>
      <c r="C16" s="70" t="s">
        <v>445</v>
      </c>
      <c r="D16" s="71" t="s">
        <v>483</v>
      </c>
      <c r="E16" s="70">
        <v>10500</v>
      </c>
      <c r="F16" s="70"/>
      <c r="G16" s="70" t="s">
        <v>462</v>
      </c>
      <c r="H16" s="70">
        <f t="shared" si="0"/>
        <v>0</v>
      </c>
      <c r="I16" s="1">
        <v>0</v>
      </c>
    </row>
    <row r="17" spans="2:9" ht="18.75" hidden="1" x14ac:dyDescent="0.3">
      <c r="B17" s="69">
        <v>1000016190</v>
      </c>
      <c r="C17" s="70" t="s">
        <v>445</v>
      </c>
      <c r="D17" s="71" t="s">
        <v>464</v>
      </c>
      <c r="E17" s="70">
        <v>11300</v>
      </c>
      <c r="F17" s="70"/>
      <c r="G17" s="70" t="s">
        <v>462</v>
      </c>
      <c r="H17" s="70">
        <f t="shared" si="0"/>
        <v>0</v>
      </c>
      <c r="I17" s="1">
        <v>0</v>
      </c>
    </row>
    <row r="18" spans="2:9" ht="18.75" hidden="1" x14ac:dyDescent="0.3">
      <c r="B18" s="69">
        <v>1000016187</v>
      </c>
      <c r="C18" s="70" t="s">
        <v>445</v>
      </c>
      <c r="D18" s="71" t="s">
        <v>465</v>
      </c>
      <c r="E18" s="70">
        <v>15500</v>
      </c>
      <c r="F18" s="74"/>
      <c r="G18" s="70" t="s">
        <v>462</v>
      </c>
      <c r="H18" s="70">
        <f t="shared" si="0"/>
        <v>0</v>
      </c>
      <c r="I18" s="1">
        <v>0</v>
      </c>
    </row>
    <row r="19" spans="2:9" ht="18.75" hidden="1" x14ac:dyDescent="0.3">
      <c r="B19" s="69">
        <v>1000036036</v>
      </c>
      <c r="C19" s="70" t="s">
        <v>445</v>
      </c>
      <c r="D19" s="71" t="s">
        <v>468</v>
      </c>
      <c r="E19" s="70">
        <v>95</v>
      </c>
      <c r="F19" s="74"/>
      <c r="G19" s="70" t="s">
        <v>462</v>
      </c>
      <c r="H19" s="70">
        <f t="shared" si="0"/>
        <v>0</v>
      </c>
      <c r="I19" s="1">
        <v>0</v>
      </c>
    </row>
    <row r="20" spans="2:9" hidden="1" x14ac:dyDescent="0.25">
      <c r="B20" s="40" t="s">
        <v>240</v>
      </c>
      <c r="C20" s="56" t="s">
        <v>445</v>
      </c>
      <c r="D20" s="30" t="s">
        <v>241</v>
      </c>
      <c r="E20" s="18">
        <v>12400</v>
      </c>
      <c r="F20" s="18"/>
      <c r="G20" s="14" t="s">
        <v>462</v>
      </c>
      <c r="H20" s="18">
        <f t="shared" si="0"/>
        <v>0</v>
      </c>
      <c r="I20" s="1">
        <v>0</v>
      </c>
    </row>
    <row r="21" spans="2:9" ht="18.75" hidden="1" x14ac:dyDescent="0.3">
      <c r="B21" s="69">
        <v>1000059992</v>
      </c>
      <c r="C21" s="70" t="s">
        <v>484</v>
      </c>
      <c r="D21" s="71" t="s">
        <v>515</v>
      </c>
      <c r="E21" s="70">
        <v>1350</v>
      </c>
      <c r="F21" s="72"/>
      <c r="G21" s="70" t="s">
        <v>462</v>
      </c>
      <c r="H21" s="72">
        <f t="shared" si="0"/>
        <v>0</v>
      </c>
      <c r="I21" s="1">
        <v>0</v>
      </c>
    </row>
    <row r="22" spans="2:9" ht="18.75" hidden="1" x14ac:dyDescent="0.3">
      <c r="B22" s="69">
        <v>1000059993</v>
      </c>
      <c r="C22" s="70" t="s">
        <v>484</v>
      </c>
      <c r="D22" s="71" t="s">
        <v>516</v>
      </c>
      <c r="E22" s="70">
        <v>1350</v>
      </c>
      <c r="F22" s="72"/>
      <c r="G22" s="70" t="s">
        <v>462</v>
      </c>
      <c r="H22" s="70">
        <f t="shared" si="0"/>
        <v>0</v>
      </c>
      <c r="I22" s="1">
        <v>0</v>
      </c>
    </row>
    <row r="23" spans="2:9" ht="18.75" hidden="1" x14ac:dyDescent="0.3">
      <c r="B23" s="69">
        <v>1000059994</v>
      </c>
      <c r="C23" s="70" t="s">
        <v>484</v>
      </c>
      <c r="D23" s="71" t="s">
        <v>517</v>
      </c>
      <c r="E23" s="70">
        <v>1350</v>
      </c>
      <c r="F23" s="72"/>
      <c r="G23" s="70" t="s">
        <v>462</v>
      </c>
      <c r="H23" s="72">
        <f t="shared" si="0"/>
        <v>0</v>
      </c>
      <c r="I23" s="1">
        <v>0</v>
      </c>
    </row>
    <row r="24" spans="2:9" ht="18.75" hidden="1" x14ac:dyDescent="0.3">
      <c r="B24" s="69">
        <v>1000059995</v>
      </c>
      <c r="C24" s="70" t="s">
        <v>484</v>
      </c>
      <c r="D24" s="71" t="s">
        <v>518</v>
      </c>
      <c r="E24" s="70">
        <v>1350</v>
      </c>
      <c r="F24" s="72"/>
      <c r="G24" s="70" t="s">
        <v>462</v>
      </c>
      <c r="H24" s="70">
        <f t="shared" si="0"/>
        <v>0</v>
      </c>
      <c r="I24" s="1">
        <v>0</v>
      </c>
    </row>
    <row r="25" spans="2:9" ht="18.75" hidden="1" x14ac:dyDescent="0.3">
      <c r="B25" s="69">
        <v>1000062740</v>
      </c>
      <c r="C25" s="70" t="s">
        <v>484</v>
      </c>
      <c r="D25" s="71" t="s">
        <v>519</v>
      </c>
      <c r="E25" s="70">
        <v>9300</v>
      </c>
      <c r="F25" s="72"/>
      <c r="G25" s="70" t="s">
        <v>462</v>
      </c>
      <c r="H25" s="70">
        <f t="shared" si="0"/>
        <v>0</v>
      </c>
      <c r="I25" s="1">
        <v>0</v>
      </c>
    </row>
    <row r="26" spans="2:9" ht="18.75" hidden="1" x14ac:dyDescent="0.3">
      <c r="B26" s="69">
        <v>1000062742</v>
      </c>
      <c r="C26" s="70" t="s">
        <v>484</v>
      </c>
      <c r="D26" s="71" t="s">
        <v>520</v>
      </c>
      <c r="E26" s="70">
        <v>6000</v>
      </c>
      <c r="F26" s="72"/>
      <c r="G26" s="70" t="s">
        <v>462</v>
      </c>
      <c r="H26" s="72">
        <f t="shared" si="0"/>
        <v>0</v>
      </c>
      <c r="I26" s="1">
        <v>0</v>
      </c>
    </row>
    <row r="27" spans="2:9" ht="22.5" hidden="1" x14ac:dyDescent="0.3">
      <c r="B27" s="101" t="s">
        <v>871</v>
      </c>
      <c r="C27" s="99" t="s">
        <v>445</v>
      </c>
      <c r="D27" s="85" t="s">
        <v>872</v>
      </c>
      <c r="E27" s="99">
        <v>28000</v>
      </c>
      <c r="F27" s="100"/>
      <c r="G27" s="131" t="s">
        <v>462</v>
      </c>
      <c r="H27" s="99">
        <f t="shared" si="0"/>
        <v>0</v>
      </c>
      <c r="I27" s="1">
        <v>0</v>
      </c>
    </row>
    <row r="28" spans="2:9" ht="18.75" hidden="1" x14ac:dyDescent="0.3">
      <c r="B28" s="69">
        <v>1000017585</v>
      </c>
      <c r="C28" s="70" t="s">
        <v>445</v>
      </c>
      <c r="D28" s="71" t="s">
        <v>12</v>
      </c>
      <c r="E28" s="70">
        <v>3000</v>
      </c>
      <c r="F28" s="73"/>
      <c r="G28" s="70" t="s">
        <v>462</v>
      </c>
      <c r="H28" s="70">
        <f t="shared" si="0"/>
        <v>0</v>
      </c>
      <c r="I28" s="1">
        <v>0</v>
      </c>
    </row>
    <row r="29" spans="2:9" ht="18.75" hidden="1" x14ac:dyDescent="0.3">
      <c r="B29" s="69">
        <v>1000017591</v>
      </c>
      <c r="C29" s="70" t="s">
        <v>445</v>
      </c>
      <c r="D29" s="71" t="s">
        <v>13</v>
      </c>
      <c r="E29" s="70">
        <v>3000</v>
      </c>
      <c r="F29" s="73"/>
      <c r="G29" s="70" t="s">
        <v>462</v>
      </c>
      <c r="H29" s="70">
        <f t="shared" si="0"/>
        <v>0</v>
      </c>
      <c r="I29" s="1">
        <v>0</v>
      </c>
    </row>
    <row r="30" spans="2:9" ht="18.75" hidden="1" x14ac:dyDescent="0.3">
      <c r="B30" s="69">
        <v>1000017582</v>
      </c>
      <c r="C30" s="70" t="s">
        <v>445</v>
      </c>
      <c r="D30" s="71" t="s">
        <v>14</v>
      </c>
      <c r="E30" s="70">
        <v>3000</v>
      </c>
      <c r="F30" s="73"/>
      <c r="G30" s="70" t="s">
        <v>462</v>
      </c>
      <c r="H30" s="70">
        <f t="shared" si="0"/>
        <v>0</v>
      </c>
      <c r="I30" s="1">
        <v>0</v>
      </c>
    </row>
    <row r="31" spans="2:9" ht="18.75" hidden="1" x14ac:dyDescent="0.3">
      <c r="B31" s="69">
        <v>1000017594</v>
      </c>
      <c r="C31" s="70" t="s">
        <v>445</v>
      </c>
      <c r="D31" s="71" t="s">
        <v>15</v>
      </c>
      <c r="E31" s="70">
        <v>3000</v>
      </c>
      <c r="F31" s="73"/>
      <c r="G31" s="70" t="s">
        <v>462</v>
      </c>
      <c r="H31" s="70">
        <f t="shared" si="0"/>
        <v>0</v>
      </c>
      <c r="I31" s="1">
        <v>0</v>
      </c>
    </row>
    <row r="32" spans="2:9" ht="18.75" hidden="1" x14ac:dyDescent="0.3">
      <c r="B32" s="69">
        <v>1000017588</v>
      </c>
      <c r="C32" s="70" t="s">
        <v>445</v>
      </c>
      <c r="D32" s="71" t="s">
        <v>16</v>
      </c>
      <c r="E32" s="70">
        <v>3000</v>
      </c>
      <c r="F32" s="73"/>
      <c r="G32" s="70" t="s">
        <v>462</v>
      </c>
      <c r="H32" s="70">
        <f t="shared" si="0"/>
        <v>0</v>
      </c>
      <c r="I32" s="1">
        <v>0</v>
      </c>
    </row>
    <row r="33" spans="2:9" ht="18.75" hidden="1" x14ac:dyDescent="0.3">
      <c r="B33" s="69">
        <v>1000017671</v>
      </c>
      <c r="C33" s="70" t="s">
        <v>445</v>
      </c>
      <c r="D33" s="71" t="s">
        <v>477</v>
      </c>
      <c r="E33" s="70">
        <v>4200</v>
      </c>
      <c r="F33" s="73"/>
      <c r="G33" s="70" t="s">
        <v>462</v>
      </c>
      <c r="H33" s="70">
        <f t="shared" si="0"/>
        <v>0</v>
      </c>
      <c r="I33" s="1">
        <v>0</v>
      </c>
    </row>
    <row r="34" spans="2:9" ht="18.75" hidden="1" x14ac:dyDescent="0.3">
      <c r="B34" s="69">
        <v>1000017674</v>
      </c>
      <c r="C34" s="70" t="s">
        <v>445</v>
      </c>
      <c r="D34" s="71" t="s">
        <v>478</v>
      </c>
      <c r="E34" s="70">
        <v>4200</v>
      </c>
      <c r="F34" s="73"/>
      <c r="G34" s="70" t="s">
        <v>462</v>
      </c>
      <c r="H34" s="70">
        <f t="shared" si="0"/>
        <v>0</v>
      </c>
      <c r="I34" s="1">
        <v>0</v>
      </c>
    </row>
    <row r="35" spans="2:9" ht="18.75" hidden="1" x14ac:dyDescent="0.3">
      <c r="B35" s="69">
        <v>1000017668</v>
      </c>
      <c r="C35" s="70" t="s">
        <v>445</v>
      </c>
      <c r="D35" s="71" t="s">
        <v>479</v>
      </c>
      <c r="E35" s="70">
        <v>4200</v>
      </c>
      <c r="F35" s="73"/>
      <c r="G35" s="70" t="s">
        <v>462</v>
      </c>
      <c r="H35" s="70">
        <f t="shared" si="0"/>
        <v>0</v>
      </c>
      <c r="I35" s="1">
        <v>0</v>
      </c>
    </row>
    <row r="36" spans="2:9" ht="18.75" hidden="1" x14ac:dyDescent="0.3">
      <c r="B36" s="69">
        <v>1000017682</v>
      </c>
      <c r="C36" s="70" t="s">
        <v>445</v>
      </c>
      <c r="D36" s="71" t="s">
        <v>480</v>
      </c>
      <c r="E36" s="70">
        <v>3700</v>
      </c>
      <c r="F36" s="72"/>
      <c r="G36" s="70" t="s">
        <v>462</v>
      </c>
      <c r="H36" s="70">
        <f t="shared" si="0"/>
        <v>0</v>
      </c>
      <c r="I36" s="1">
        <v>0</v>
      </c>
    </row>
    <row r="37" spans="2:9" ht="18.75" hidden="1" x14ac:dyDescent="0.3">
      <c r="B37" s="69">
        <v>1000017677</v>
      </c>
      <c r="C37" s="70" t="s">
        <v>445</v>
      </c>
      <c r="D37" s="71" t="s">
        <v>481</v>
      </c>
      <c r="E37" s="70">
        <v>4200</v>
      </c>
      <c r="F37" s="73"/>
      <c r="G37" s="70" t="s">
        <v>462</v>
      </c>
      <c r="H37" s="70">
        <f t="shared" si="0"/>
        <v>0</v>
      </c>
      <c r="I37" s="1">
        <v>0</v>
      </c>
    </row>
    <row r="38" spans="2:9" ht="18.75" hidden="1" x14ac:dyDescent="0.3">
      <c r="B38" s="69">
        <v>1000017685</v>
      </c>
      <c r="C38" s="70" t="s">
        <v>445</v>
      </c>
      <c r="D38" s="71" t="s">
        <v>482</v>
      </c>
      <c r="E38" s="70">
        <v>4200</v>
      </c>
      <c r="F38" s="73"/>
      <c r="G38" s="70" t="s">
        <v>462</v>
      </c>
      <c r="H38" s="70">
        <f t="shared" si="0"/>
        <v>0</v>
      </c>
      <c r="I38" s="1">
        <v>0</v>
      </c>
    </row>
    <row r="39" spans="2:9" ht="18.75" hidden="1" x14ac:dyDescent="0.3">
      <c r="B39" s="69">
        <v>1000017652</v>
      </c>
      <c r="C39" s="70" t="s">
        <v>445</v>
      </c>
      <c r="D39" s="71" t="s">
        <v>472</v>
      </c>
      <c r="E39" s="70">
        <v>6200</v>
      </c>
      <c r="F39" s="73"/>
      <c r="G39" s="70" t="s">
        <v>462</v>
      </c>
      <c r="H39" s="70">
        <f t="shared" si="0"/>
        <v>0</v>
      </c>
      <c r="I39" s="1">
        <v>0</v>
      </c>
    </row>
    <row r="40" spans="2:9" ht="18.75" hidden="1" x14ac:dyDescent="0.3">
      <c r="B40" s="69">
        <v>1000017661</v>
      </c>
      <c r="C40" s="70" t="s">
        <v>445</v>
      </c>
      <c r="D40" s="71" t="s">
        <v>473</v>
      </c>
      <c r="E40" s="70">
        <v>6200</v>
      </c>
      <c r="F40" s="73"/>
      <c r="G40" s="70" t="s">
        <v>462</v>
      </c>
      <c r="H40" s="70">
        <f t="shared" si="0"/>
        <v>0</v>
      </c>
      <c r="I40" s="1">
        <v>0</v>
      </c>
    </row>
    <row r="41" spans="2:9" hidden="1" x14ac:dyDescent="0.25">
      <c r="B41" s="14"/>
      <c r="C41" s="18" t="s">
        <v>445</v>
      </c>
      <c r="D41" s="17" t="s">
        <v>463</v>
      </c>
      <c r="E41" s="14"/>
      <c r="F41" s="59"/>
      <c r="G41" s="14" t="s">
        <v>462</v>
      </c>
      <c r="H41" s="14">
        <f t="shared" si="0"/>
        <v>0</v>
      </c>
      <c r="I41" s="1">
        <v>0</v>
      </c>
    </row>
    <row r="42" spans="2:9" ht="18.75" hidden="1" x14ac:dyDescent="0.3">
      <c r="B42" s="69">
        <v>1000017655</v>
      </c>
      <c r="C42" s="70" t="s">
        <v>445</v>
      </c>
      <c r="D42" s="71" t="s">
        <v>474</v>
      </c>
      <c r="E42" s="70">
        <v>6200</v>
      </c>
      <c r="F42" s="73"/>
      <c r="G42" s="70" t="s">
        <v>462</v>
      </c>
      <c r="H42" s="70">
        <f t="shared" si="0"/>
        <v>0</v>
      </c>
      <c r="I42" s="1">
        <v>0</v>
      </c>
    </row>
    <row r="43" spans="2:9" ht="18.75" hidden="1" x14ac:dyDescent="0.3">
      <c r="B43" s="69">
        <v>1000017665</v>
      </c>
      <c r="C43" s="70" t="s">
        <v>445</v>
      </c>
      <c r="D43" s="71" t="s">
        <v>475</v>
      </c>
      <c r="E43" s="70">
        <v>6200</v>
      </c>
      <c r="F43" s="73"/>
      <c r="G43" s="70" t="s">
        <v>462</v>
      </c>
      <c r="H43" s="70">
        <f t="shared" si="0"/>
        <v>0</v>
      </c>
      <c r="I43" s="1">
        <v>0</v>
      </c>
    </row>
    <row r="44" spans="2:9" ht="18.75" hidden="1" x14ac:dyDescent="0.3">
      <c r="B44" s="69">
        <v>1000017658</v>
      </c>
      <c r="C44" s="70" t="s">
        <v>445</v>
      </c>
      <c r="D44" s="71" t="s">
        <v>476</v>
      </c>
      <c r="E44" s="70">
        <v>6200</v>
      </c>
      <c r="F44" s="73"/>
      <c r="G44" s="70" t="s">
        <v>462</v>
      </c>
      <c r="H44" s="70">
        <f t="shared" si="0"/>
        <v>0</v>
      </c>
      <c r="I44" s="1">
        <v>0</v>
      </c>
    </row>
    <row r="45" spans="2:9" ht="18.75" hidden="1" x14ac:dyDescent="0.3">
      <c r="B45" s="69">
        <v>1000039258</v>
      </c>
      <c r="C45" s="14" t="s">
        <v>484</v>
      </c>
      <c r="D45" s="71" t="s">
        <v>489</v>
      </c>
      <c r="E45" s="70">
        <v>1950</v>
      </c>
      <c r="F45" s="73"/>
      <c r="G45" s="70" t="s">
        <v>462</v>
      </c>
      <c r="H45" s="70">
        <f t="shared" si="0"/>
        <v>0</v>
      </c>
      <c r="I45" s="1">
        <v>0</v>
      </c>
    </row>
    <row r="46" spans="2:9" ht="18.75" hidden="1" x14ac:dyDescent="0.3">
      <c r="B46" s="69">
        <v>1000039257</v>
      </c>
      <c r="C46" s="14" t="s">
        <v>484</v>
      </c>
      <c r="D46" s="71" t="s">
        <v>493</v>
      </c>
      <c r="E46" s="70">
        <v>1950</v>
      </c>
      <c r="F46" s="73"/>
      <c r="G46" s="70" t="s">
        <v>462</v>
      </c>
      <c r="H46" s="70">
        <f t="shared" si="0"/>
        <v>0</v>
      </c>
      <c r="I46" s="1">
        <v>0</v>
      </c>
    </row>
    <row r="47" spans="2:9" ht="18.75" hidden="1" x14ac:dyDescent="0.3">
      <c r="B47" s="69"/>
      <c r="C47" s="14"/>
      <c r="D47" s="71" t="s">
        <v>504</v>
      </c>
      <c r="E47" s="70">
        <v>1950</v>
      </c>
      <c r="F47" s="73"/>
      <c r="G47" s="70" t="s">
        <v>462</v>
      </c>
      <c r="H47" s="70">
        <f t="shared" si="0"/>
        <v>0</v>
      </c>
      <c r="I47" s="1">
        <v>0</v>
      </c>
    </row>
    <row r="48" spans="2:9" ht="18.75" hidden="1" x14ac:dyDescent="0.3">
      <c r="B48" s="69"/>
      <c r="C48" s="14"/>
      <c r="D48" s="71" t="s">
        <v>505</v>
      </c>
      <c r="E48" s="70">
        <v>2400</v>
      </c>
      <c r="F48" s="73"/>
      <c r="G48" s="70" t="s">
        <v>462</v>
      </c>
      <c r="H48" s="70">
        <f t="shared" si="0"/>
        <v>0</v>
      </c>
      <c r="I48" s="1">
        <v>0</v>
      </c>
    </row>
    <row r="49" spans="2:9" ht="18.75" hidden="1" x14ac:dyDescent="0.3">
      <c r="B49" s="69">
        <v>1000043413</v>
      </c>
      <c r="C49" s="14" t="s">
        <v>484</v>
      </c>
      <c r="D49" s="71" t="s">
        <v>490</v>
      </c>
      <c r="E49" s="70">
        <v>5800</v>
      </c>
      <c r="F49" s="72"/>
      <c r="G49" s="70" t="s">
        <v>462</v>
      </c>
      <c r="H49" s="70">
        <f t="shared" si="0"/>
        <v>0</v>
      </c>
      <c r="I49" s="1">
        <v>0</v>
      </c>
    </row>
    <row r="50" spans="2:9" ht="18.75" hidden="1" x14ac:dyDescent="0.3">
      <c r="B50" s="69">
        <v>1000043414</v>
      </c>
      <c r="C50" s="14" t="s">
        <v>484</v>
      </c>
      <c r="D50" s="71" t="s">
        <v>491</v>
      </c>
      <c r="E50" s="70">
        <v>5800</v>
      </c>
      <c r="F50" s="72"/>
      <c r="G50" s="70" t="s">
        <v>462</v>
      </c>
      <c r="H50" s="70">
        <f t="shared" si="0"/>
        <v>0</v>
      </c>
      <c r="I50" s="1">
        <v>0</v>
      </c>
    </row>
    <row r="51" spans="2:9" ht="18.75" hidden="1" x14ac:dyDescent="0.3">
      <c r="B51" s="69">
        <v>1000043415</v>
      </c>
      <c r="C51" s="14" t="s">
        <v>484</v>
      </c>
      <c r="D51" s="71" t="s">
        <v>492</v>
      </c>
      <c r="E51" s="70">
        <v>5800</v>
      </c>
      <c r="F51" s="72"/>
      <c r="G51" s="70" t="s">
        <v>462</v>
      </c>
      <c r="H51" s="70">
        <f t="shared" si="0"/>
        <v>0</v>
      </c>
      <c r="I51" s="1">
        <v>0</v>
      </c>
    </row>
    <row r="52" spans="2:9" ht="18.75" hidden="1" x14ac:dyDescent="0.3">
      <c r="B52" s="69"/>
      <c r="C52" s="14"/>
      <c r="D52" s="71" t="s">
        <v>506</v>
      </c>
      <c r="E52" s="70"/>
      <c r="F52" s="72"/>
      <c r="G52" s="70" t="s">
        <v>462</v>
      </c>
      <c r="H52" s="70"/>
      <c r="I52" s="1">
        <v>0</v>
      </c>
    </row>
    <row r="53" spans="2:9" ht="18.75" hidden="1" x14ac:dyDescent="0.3">
      <c r="B53" s="69"/>
      <c r="C53" s="14"/>
      <c r="D53" s="71" t="s">
        <v>507</v>
      </c>
      <c r="E53" s="70"/>
      <c r="F53" s="72"/>
      <c r="G53" s="70" t="s">
        <v>462</v>
      </c>
      <c r="H53" s="70"/>
      <c r="I53" s="1">
        <v>0</v>
      </c>
    </row>
    <row r="54" spans="2:9" ht="18.75" hidden="1" x14ac:dyDescent="0.3">
      <c r="B54" s="69">
        <v>1000048501</v>
      </c>
      <c r="C54" s="70" t="s">
        <v>484</v>
      </c>
      <c r="D54" s="71" t="s">
        <v>502</v>
      </c>
      <c r="E54" s="70">
        <v>4200</v>
      </c>
      <c r="F54" s="72"/>
      <c r="G54" s="70" t="s">
        <v>462</v>
      </c>
      <c r="H54" s="70">
        <f t="shared" si="0"/>
        <v>0</v>
      </c>
      <c r="I54" s="1">
        <v>0</v>
      </c>
    </row>
    <row r="55" spans="2:9" ht="18.75" hidden="1" x14ac:dyDescent="0.3">
      <c r="B55" s="69">
        <v>1000045187</v>
      </c>
      <c r="C55" s="70" t="s">
        <v>484</v>
      </c>
      <c r="D55" s="71" t="s">
        <v>494</v>
      </c>
      <c r="E55" s="70">
        <v>3500</v>
      </c>
      <c r="F55" s="72"/>
      <c r="G55" s="70" t="s">
        <v>462</v>
      </c>
      <c r="H55" s="70">
        <f t="shared" si="0"/>
        <v>0</v>
      </c>
      <c r="I55" s="1">
        <v>0</v>
      </c>
    </row>
    <row r="56" spans="2:9" ht="18.75" hidden="1" x14ac:dyDescent="0.3">
      <c r="B56" s="69">
        <v>1000045186</v>
      </c>
      <c r="C56" s="70" t="s">
        <v>484</v>
      </c>
      <c r="D56" s="71" t="s">
        <v>495</v>
      </c>
      <c r="E56" s="70">
        <v>3500</v>
      </c>
      <c r="F56" s="72"/>
      <c r="G56" s="70" t="s">
        <v>462</v>
      </c>
      <c r="H56" s="70">
        <f t="shared" si="0"/>
        <v>0</v>
      </c>
      <c r="I56" s="1">
        <v>0</v>
      </c>
    </row>
    <row r="57" spans="2:9" ht="18.75" hidden="1" x14ac:dyDescent="0.3">
      <c r="B57" s="69">
        <v>1000044122</v>
      </c>
      <c r="C57" s="14" t="s">
        <v>484</v>
      </c>
      <c r="D57" s="71" t="s">
        <v>485</v>
      </c>
      <c r="E57" s="70">
        <v>3100</v>
      </c>
      <c r="F57" s="72"/>
      <c r="G57" s="70" t="s">
        <v>462</v>
      </c>
      <c r="H57" s="70">
        <f t="shared" si="0"/>
        <v>0</v>
      </c>
      <c r="I57" s="1">
        <v>0</v>
      </c>
    </row>
    <row r="58" spans="2:9" ht="18.75" hidden="1" x14ac:dyDescent="0.3">
      <c r="B58" s="69">
        <v>1000044124</v>
      </c>
      <c r="C58" s="14" t="s">
        <v>484</v>
      </c>
      <c r="D58" s="71" t="s">
        <v>486</v>
      </c>
      <c r="E58" s="70">
        <v>3100</v>
      </c>
      <c r="F58" s="72"/>
      <c r="G58" s="70" t="s">
        <v>462</v>
      </c>
      <c r="H58" s="70">
        <f t="shared" si="0"/>
        <v>0</v>
      </c>
      <c r="I58" s="1">
        <v>0</v>
      </c>
    </row>
    <row r="59" spans="2:9" ht="18.75" hidden="1" x14ac:dyDescent="0.3">
      <c r="B59" s="69">
        <v>1000044125</v>
      </c>
      <c r="C59" s="14" t="s">
        <v>484</v>
      </c>
      <c r="D59" s="71" t="s">
        <v>487</v>
      </c>
      <c r="E59" s="70">
        <v>3100</v>
      </c>
      <c r="F59" s="72"/>
      <c r="G59" s="70" t="s">
        <v>462</v>
      </c>
      <c r="H59" s="70">
        <f t="shared" si="0"/>
        <v>0</v>
      </c>
      <c r="I59" s="1">
        <v>0</v>
      </c>
    </row>
    <row r="60" spans="2:9" ht="18.75" hidden="1" x14ac:dyDescent="0.3">
      <c r="B60" s="69">
        <v>1000044123</v>
      </c>
      <c r="C60" s="14" t="s">
        <v>484</v>
      </c>
      <c r="D60" s="71" t="s">
        <v>488</v>
      </c>
      <c r="E60" s="70">
        <v>3100</v>
      </c>
      <c r="F60" s="72"/>
      <c r="G60" s="70" t="s">
        <v>462</v>
      </c>
      <c r="H60" s="70">
        <f t="shared" si="0"/>
        <v>0</v>
      </c>
      <c r="I60" s="1">
        <v>0</v>
      </c>
    </row>
    <row r="61" spans="2:9" ht="18.75" hidden="1" x14ac:dyDescent="0.3">
      <c r="B61" s="69">
        <v>1000023589</v>
      </c>
      <c r="C61" s="70" t="s">
        <v>484</v>
      </c>
      <c r="D61" s="71" t="s">
        <v>469</v>
      </c>
      <c r="E61" s="70">
        <v>10200</v>
      </c>
      <c r="F61" s="73"/>
      <c r="G61" s="72" t="s">
        <v>461</v>
      </c>
      <c r="H61" s="70">
        <f t="shared" si="0"/>
        <v>0</v>
      </c>
      <c r="I61" s="1">
        <v>0</v>
      </c>
    </row>
    <row r="62" spans="2:9" ht="18.75" hidden="1" x14ac:dyDescent="0.3">
      <c r="B62" s="69">
        <v>1000023592</v>
      </c>
      <c r="C62" s="70" t="s">
        <v>484</v>
      </c>
      <c r="D62" s="71" t="s">
        <v>470</v>
      </c>
      <c r="E62" s="70">
        <v>10200</v>
      </c>
      <c r="F62" s="73"/>
      <c r="G62" s="72" t="s">
        <v>461</v>
      </c>
      <c r="H62" s="70">
        <f t="shared" si="0"/>
        <v>0</v>
      </c>
      <c r="I62" s="1">
        <v>0</v>
      </c>
    </row>
    <row r="63" spans="2:9" ht="18.75" hidden="1" x14ac:dyDescent="0.3">
      <c r="B63" s="69">
        <v>1000023586</v>
      </c>
      <c r="C63" s="70" t="s">
        <v>484</v>
      </c>
      <c r="D63" s="71" t="s">
        <v>471</v>
      </c>
      <c r="E63" s="70">
        <v>10200</v>
      </c>
      <c r="F63" s="73"/>
      <c r="G63" s="72" t="s">
        <v>461</v>
      </c>
      <c r="H63" s="70">
        <f t="shared" si="0"/>
        <v>0</v>
      </c>
      <c r="I63" s="1">
        <v>0</v>
      </c>
    </row>
    <row r="64" spans="2:9" ht="18.75" hidden="1" x14ac:dyDescent="0.3">
      <c r="B64" s="69">
        <v>1000023595</v>
      </c>
      <c r="C64" s="70" t="s">
        <v>484</v>
      </c>
      <c r="D64" s="71" t="s">
        <v>501</v>
      </c>
      <c r="E64" s="70">
        <v>10200</v>
      </c>
      <c r="F64" s="73"/>
      <c r="G64" s="72" t="s">
        <v>461</v>
      </c>
      <c r="H64" s="70">
        <f t="shared" si="0"/>
        <v>0</v>
      </c>
      <c r="I64" s="1">
        <v>0</v>
      </c>
    </row>
    <row r="65" spans="2:9" ht="18.75" hidden="1" x14ac:dyDescent="0.3">
      <c r="B65" s="69"/>
      <c r="C65" s="70" t="s">
        <v>484</v>
      </c>
      <c r="D65" s="71" t="s">
        <v>508</v>
      </c>
      <c r="E65" s="70">
        <v>13800</v>
      </c>
      <c r="F65" s="73"/>
      <c r="G65" s="72" t="s">
        <v>461</v>
      </c>
      <c r="H65" s="70">
        <f t="shared" si="0"/>
        <v>0</v>
      </c>
      <c r="I65" s="1">
        <v>0</v>
      </c>
    </row>
    <row r="66" spans="2:9" ht="18.75" hidden="1" x14ac:dyDescent="0.3">
      <c r="B66" s="69"/>
      <c r="C66" s="70" t="s">
        <v>484</v>
      </c>
      <c r="D66" s="71" t="s">
        <v>509</v>
      </c>
      <c r="E66" s="70">
        <v>13800</v>
      </c>
      <c r="F66" s="73"/>
      <c r="G66" s="72" t="s">
        <v>461</v>
      </c>
      <c r="H66" s="70">
        <f t="shared" si="0"/>
        <v>0</v>
      </c>
      <c r="I66" s="1">
        <v>0</v>
      </c>
    </row>
    <row r="67" spans="2:9" ht="18.75" hidden="1" x14ac:dyDescent="0.3">
      <c r="B67" s="69"/>
      <c r="C67" s="70" t="s">
        <v>484</v>
      </c>
      <c r="D67" s="71" t="s">
        <v>510</v>
      </c>
      <c r="E67" s="70">
        <v>13800</v>
      </c>
      <c r="F67" s="73"/>
      <c r="G67" s="72" t="s">
        <v>461</v>
      </c>
      <c r="H67" s="70">
        <f t="shared" si="0"/>
        <v>0</v>
      </c>
      <c r="I67" s="1">
        <v>0</v>
      </c>
    </row>
    <row r="68" spans="2:9" ht="17.25" hidden="1" customHeight="1" x14ac:dyDescent="0.3">
      <c r="B68" s="69">
        <v>1000052174</v>
      </c>
      <c r="C68" s="70" t="s">
        <v>484</v>
      </c>
      <c r="D68" s="71" t="s">
        <v>512</v>
      </c>
      <c r="E68" s="70">
        <v>17000</v>
      </c>
      <c r="F68" s="73"/>
      <c r="G68" s="72" t="s">
        <v>461</v>
      </c>
      <c r="H68" s="70">
        <f t="shared" si="0"/>
        <v>0</v>
      </c>
      <c r="I68" s="1">
        <v>0</v>
      </c>
    </row>
    <row r="69" spans="2:9" ht="18.75" hidden="1" x14ac:dyDescent="0.3">
      <c r="B69" s="69"/>
      <c r="C69" s="70" t="s">
        <v>484</v>
      </c>
      <c r="D69" s="71" t="s">
        <v>511</v>
      </c>
      <c r="E69" s="70">
        <v>22500</v>
      </c>
      <c r="F69" s="73"/>
      <c r="G69" s="72"/>
      <c r="H69" s="70">
        <f t="shared" si="0"/>
        <v>0</v>
      </c>
      <c r="I69" s="1">
        <v>0</v>
      </c>
    </row>
    <row r="70" spans="2:9" ht="18.75" hidden="1" x14ac:dyDescent="0.3">
      <c r="B70" s="69" t="s">
        <v>500</v>
      </c>
      <c r="C70" s="70" t="s">
        <v>484</v>
      </c>
      <c r="D70" s="72" t="s">
        <v>496</v>
      </c>
      <c r="E70" s="70">
        <v>750</v>
      </c>
      <c r="F70" s="72"/>
      <c r="G70" s="72" t="s">
        <v>462</v>
      </c>
      <c r="H70" s="72">
        <f t="shared" si="0"/>
        <v>0</v>
      </c>
      <c r="I70" s="1">
        <v>0</v>
      </c>
    </row>
    <row r="71" spans="2:9" ht="18.75" hidden="1" x14ac:dyDescent="0.3">
      <c r="B71" s="69">
        <v>4780044580169</v>
      </c>
      <c r="C71" s="70" t="s">
        <v>484</v>
      </c>
      <c r="D71" s="71" t="s">
        <v>497</v>
      </c>
      <c r="E71" s="70">
        <v>750</v>
      </c>
      <c r="F71" s="72"/>
      <c r="G71" s="72" t="s">
        <v>462</v>
      </c>
      <c r="H71" s="72">
        <f t="shared" si="0"/>
        <v>0</v>
      </c>
      <c r="I71" s="1">
        <v>0</v>
      </c>
    </row>
    <row r="72" spans="2:9" ht="18.75" hidden="1" x14ac:dyDescent="0.3">
      <c r="B72" s="69">
        <v>4780044580206</v>
      </c>
      <c r="C72" s="70" t="s">
        <v>484</v>
      </c>
      <c r="D72" s="71" t="s">
        <v>498</v>
      </c>
      <c r="E72" s="70">
        <v>750</v>
      </c>
      <c r="F72" s="72"/>
      <c r="G72" s="72" t="s">
        <v>462</v>
      </c>
      <c r="H72" s="70">
        <f t="shared" si="0"/>
        <v>0</v>
      </c>
      <c r="I72" s="1">
        <v>0</v>
      </c>
    </row>
    <row r="73" spans="2:9" ht="18.75" hidden="1" x14ac:dyDescent="0.3">
      <c r="B73" s="69">
        <v>4780044580183</v>
      </c>
      <c r="C73" s="70" t="s">
        <v>484</v>
      </c>
      <c r="D73" s="71" t="s">
        <v>499</v>
      </c>
      <c r="E73" s="70">
        <v>750</v>
      </c>
      <c r="F73" s="72"/>
      <c r="G73" s="72" t="s">
        <v>462</v>
      </c>
      <c r="H73" s="70">
        <f t="shared" si="0"/>
        <v>0</v>
      </c>
      <c r="I73" s="1">
        <v>0</v>
      </c>
    </row>
    <row r="74" spans="2:9" ht="18.75" hidden="1" x14ac:dyDescent="0.3">
      <c r="B74" s="70"/>
      <c r="C74" s="70"/>
      <c r="D74" s="71" t="s">
        <v>693</v>
      </c>
      <c r="E74" s="70">
        <v>11000</v>
      </c>
      <c r="F74" s="72"/>
      <c r="G74" s="72" t="s">
        <v>462</v>
      </c>
      <c r="H74" s="72">
        <f t="shared" si="0"/>
        <v>0</v>
      </c>
      <c r="I74" s="1">
        <v>0</v>
      </c>
    </row>
    <row r="75" spans="2:9" ht="18.75" hidden="1" x14ac:dyDescent="0.3">
      <c r="B75" s="69"/>
      <c r="C75" s="70"/>
      <c r="D75" s="71" t="s">
        <v>694</v>
      </c>
      <c r="E75" s="70">
        <v>11500</v>
      </c>
      <c r="F75" s="72"/>
      <c r="G75" s="72" t="s">
        <v>462</v>
      </c>
      <c r="H75" s="70">
        <f t="shared" si="0"/>
        <v>0</v>
      </c>
      <c r="I75" s="1">
        <v>0</v>
      </c>
    </row>
    <row r="76" spans="2:9" ht="18.75" hidden="1" x14ac:dyDescent="0.3">
      <c r="B76" s="69"/>
      <c r="C76" s="70"/>
      <c r="D76" s="71" t="s">
        <v>695</v>
      </c>
      <c r="E76" s="70">
        <v>33500</v>
      </c>
      <c r="F76" s="72"/>
      <c r="G76" s="72" t="s">
        <v>462</v>
      </c>
      <c r="H76" s="70">
        <f t="shared" si="0"/>
        <v>0</v>
      </c>
      <c r="I76" s="1">
        <v>0</v>
      </c>
    </row>
    <row r="77" spans="2:9" ht="18.75" hidden="1" x14ac:dyDescent="0.3">
      <c r="B77" s="70"/>
      <c r="C77" s="70"/>
      <c r="D77" s="71" t="s">
        <v>696</v>
      </c>
      <c r="E77" s="70">
        <v>23500</v>
      </c>
      <c r="F77" s="82"/>
      <c r="G77" s="72" t="s">
        <v>462</v>
      </c>
      <c r="H77" s="83">
        <f t="shared" si="0"/>
        <v>0</v>
      </c>
      <c r="I77" s="1">
        <v>0</v>
      </c>
    </row>
    <row r="78" spans="2:9" ht="18.75" hidden="1" x14ac:dyDescent="0.3">
      <c r="B78" s="70"/>
      <c r="C78" s="70"/>
      <c r="D78" s="71" t="s">
        <v>697</v>
      </c>
      <c r="E78" s="70">
        <v>13000</v>
      </c>
      <c r="F78" s="82"/>
      <c r="G78" s="72" t="s">
        <v>462</v>
      </c>
      <c r="H78" s="83">
        <f t="shared" si="0"/>
        <v>0</v>
      </c>
      <c r="I78" s="1">
        <v>0</v>
      </c>
    </row>
    <row r="79" spans="2:9" ht="18.75" hidden="1" x14ac:dyDescent="0.3">
      <c r="B79" s="70"/>
      <c r="C79" s="70"/>
      <c r="D79" s="71" t="s">
        <v>698</v>
      </c>
      <c r="E79" s="70">
        <v>9700</v>
      </c>
      <c r="F79" s="70"/>
      <c r="G79" s="72" t="s">
        <v>462</v>
      </c>
      <c r="H79" s="83">
        <f t="shared" si="0"/>
        <v>0</v>
      </c>
      <c r="I79" s="1">
        <v>0</v>
      </c>
    </row>
    <row r="80" spans="2:9" ht="18.75" hidden="1" x14ac:dyDescent="0.3">
      <c r="B80" s="70"/>
      <c r="C80" s="70"/>
      <c r="D80" s="71" t="s">
        <v>699</v>
      </c>
      <c r="E80" s="70">
        <v>23500</v>
      </c>
      <c r="F80" s="71"/>
      <c r="G80" s="72" t="s">
        <v>462</v>
      </c>
      <c r="H80" s="83">
        <f t="shared" si="0"/>
        <v>0</v>
      </c>
      <c r="I80" s="1">
        <v>0</v>
      </c>
    </row>
    <row r="81" spans="2:9" ht="18.75" hidden="1" x14ac:dyDescent="0.3">
      <c r="B81" s="14"/>
      <c r="C81" s="70"/>
      <c r="D81" s="72" t="s">
        <v>700</v>
      </c>
      <c r="E81" s="70">
        <v>11000</v>
      </c>
      <c r="F81" s="70"/>
      <c r="G81" s="72" t="s">
        <v>462</v>
      </c>
      <c r="H81" s="83">
        <f t="shared" si="0"/>
        <v>0</v>
      </c>
      <c r="I81" s="1">
        <v>0</v>
      </c>
    </row>
    <row r="82" spans="2:9" ht="18.75" hidden="1" x14ac:dyDescent="0.3">
      <c r="B82" s="14"/>
      <c r="C82" s="70"/>
      <c r="D82" s="72" t="s">
        <v>701</v>
      </c>
      <c r="E82" s="70">
        <v>11000</v>
      </c>
      <c r="F82" s="70"/>
      <c r="G82" s="72" t="s">
        <v>462</v>
      </c>
      <c r="H82" s="83">
        <f t="shared" si="0"/>
        <v>0</v>
      </c>
      <c r="I82" s="1">
        <v>0</v>
      </c>
    </row>
    <row r="83" spans="2:9" ht="18.75" hidden="1" x14ac:dyDescent="0.3">
      <c r="B83" s="69"/>
      <c r="C83" s="70"/>
      <c r="D83" s="71" t="s">
        <v>702</v>
      </c>
      <c r="E83" s="70">
        <v>6000</v>
      </c>
      <c r="F83" s="71"/>
      <c r="G83" s="72" t="s">
        <v>462</v>
      </c>
      <c r="H83" s="83">
        <f t="shared" si="0"/>
        <v>0</v>
      </c>
      <c r="I83" s="1">
        <v>0</v>
      </c>
    </row>
    <row r="84" spans="2:9" ht="18.75" hidden="1" x14ac:dyDescent="0.3">
      <c r="B84" s="69"/>
      <c r="C84" s="14"/>
      <c r="D84" s="71" t="s">
        <v>703</v>
      </c>
      <c r="E84" s="70">
        <v>11000</v>
      </c>
      <c r="F84" s="97"/>
      <c r="G84" s="72" t="s">
        <v>462</v>
      </c>
      <c r="H84" s="70">
        <f t="shared" si="0"/>
        <v>0</v>
      </c>
      <c r="I84" s="1">
        <v>0</v>
      </c>
    </row>
    <row r="85" spans="2:9" ht="18.75" hidden="1" x14ac:dyDescent="0.3">
      <c r="B85" s="69"/>
      <c r="C85" s="14"/>
      <c r="D85" s="44"/>
      <c r="E85" s="72"/>
      <c r="F85" s="72"/>
      <c r="G85" s="72" t="s">
        <v>462</v>
      </c>
      <c r="H85" s="72">
        <f t="shared" si="0"/>
        <v>0</v>
      </c>
      <c r="I85" s="1">
        <v>0</v>
      </c>
    </row>
    <row r="86" spans="2:9" ht="18.75" hidden="1" x14ac:dyDescent="0.3">
      <c r="B86" s="69">
        <v>8720618181749</v>
      </c>
      <c r="C86" s="14" t="s">
        <v>651</v>
      </c>
      <c r="D86" s="44" t="s">
        <v>629</v>
      </c>
      <c r="E86" s="70">
        <v>4100</v>
      </c>
      <c r="F86" s="73"/>
      <c r="G86" s="72" t="s">
        <v>462</v>
      </c>
      <c r="H86" s="72">
        <f t="shared" si="0"/>
        <v>0</v>
      </c>
      <c r="I86" s="1">
        <v>0</v>
      </c>
    </row>
    <row r="87" spans="2:9" ht="18.75" hidden="1" x14ac:dyDescent="0.3">
      <c r="B87" s="69"/>
      <c r="C87" s="70"/>
      <c r="D87" s="44" t="s">
        <v>630</v>
      </c>
      <c r="E87" s="70">
        <v>40800</v>
      </c>
      <c r="F87" s="72"/>
      <c r="G87" s="72" t="s">
        <v>462</v>
      </c>
      <c r="H87" s="72">
        <f t="shared" si="0"/>
        <v>0</v>
      </c>
      <c r="I87" s="1">
        <v>0</v>
      </c>
    </row>
    <row r="88" spans="2:9" ht="18.75" hidden="1" x14ac:dyDescent="0.3">
      <c r="B88" s="69">
        <v>8719992179701</v>
      </c>
      <c r="C88" s="14" t="s">
        <v>651</v>
      </c>
      <c r="D88" s="44" t="s">
        <v>631</v>
      </c>
      <c r="E88" s="70">
        <v>3600</v>
      </c>
      <c r="F88" s="72"/>
      <c r="G88" s="72" t="s">
        <v>462</v>
      </c>
      <c r="H88" s="72">
        <f t="shared" si="0"/>
        <v>0</v>
      </c>
      <c r="I88" s="1">
        <v>0</v>
      </c>
    </row>
    <row r="89" spans="2:9" ht="18.75" hidden="1" x14ac:dyDescent="0.3">
      <c r="B89" s="69"/>
      <c r="C89" s="70"/>
      <c r="D89" s="44" t="s">
        <v>632</v>
      </c>
      <c r="E89" s="70">
        <v>40800</v>
      </c>
      <c r="F89" s="72"/>
      <c r="G89" s="72" t="s">
        <v>462</v>
      </c>
      <c r="H89" s="72">
        <f t="shared" si="0"/>
        <v>0</v>
      </c>
      <c r="I89" s="1">
        <v>0</v>
      </c>
    </row>
    <row r="90" spans="2:9" ht="18.75" hidden="1" x14ac:dyDescent="0.3">
      <c r="B90" s="69"/>
      <c r="C90" s="70"/>
      <c r="D90" s="44" t="s">
        <v>633</v>
      </c>
      <c r="E90" s="70">
        <v>18000</v>
      </c>
      <c r="F90" s="72"/>
      <c r="G90" s="72" t="s">
        <v>462</v>
      </c>
      <c r="H90" s="72">
        <f t="shared" si="0"/>
        <v>0</v>
      </c>
      <c r="I90" s="1">
        <v>0</v>
      </c>
    </row>
    <row r="91" spans="2:9" ht="18.75" hidden="1" x14ac:dyDescent="0.3">
      <c r="B91" s="69"/>
      <c r="C91" s="70"/>
      <c r="D91" s="44" t="s">
        <v>634</v>
      </c>
      <c r="E91" s="70">
        <v>19000</v>
      </c>
      <c r="F91" s="72"/>
      <c r="G91" s="72" t="s">
        <v>462</v>
      </c>
      <c r="H91" s="72">
        <f t="shared" si="0"/>
        <v>0</v>
      </c>
      <c r="I91" s="1">
        <v>0</v>
      </c>
    </row>
    <row r="92" spans="2:9" ht="18.75" hidden="1" x14ac:dyDescent="0.3">
      <c r="B92" s="69">
        <v>8719189419689</v>
      </c>
      <c r="C92" s="14" t="s">
        <v>651</v>
      </c>
      <c r="D92" s="44" t="s">
        <v>635</v>
      </c>
      <c r="E92" s="70">
        <v>3600</v>
      </c>
      <c r="F92" s="72"/>
      <c r="G92" s="72" t="s">
        <v>462</v>
      </c>
      <c r="H92" s="72">
        <f t="shared" si="0"/>
        <v>0</v>
      </c>
      <c r="I92" s="1">
        <v>0</v>
      </c>
    </row>
    <row r="93" spans="2:9" ht="18.75" hidden="1" x14ac:dyDescent="0.3">
      <c r="B93" s="69"/>
      <c r="C93" s="70"/>
      <c r="D93" s="44" t="s">
        <v>636</v>
      </c>
      <c r="E93" s="70">
        <v>19000</v>
      </c>
      <c r="F93" s="72"/>
      <c r="G93" s="72" t="s">
        <v>462</v>
      </c>
      <c r="H93" s="72">
        <f t="shared" si="0"/>
        <v>0</v>
      </c>
      <c r="I93" s="1">
        <v>0</v>
      </c>
    </row>
    <row r="94" spans="2:9" ht="18.75" hidden="1" x14ac:dyDescent="0.3">
      <c r="B94" s="69">
        <v>8719189419054</v>
      </c>
      <c r="C94" s="14" t="s">
        <v>651</v>
      </c>
      <c r="D94" s="71" t="s">
        <v>637</v>
      </c>
      <c r="E94" s="70">
        <v>3600</v>
      </c>
      <c r="F94" s="72"/>
      <c r="G94" s="72" t="s">
        <v>462</v>
      </c>
      <c r="H94" s="72">
        <f t="shared" si="0"/>
        <v>0</v>
      </c>
      <c r="I94" s="1">
        <v>0</v>
      </c>
    </row>
    <row r="95" spans="2:9" ht="20.25" hidden="1" x14ac:dyDescent="0.3">
      <c r="B95" s="117">
        <v>4780019430093</v>
      </c>
      <c r="C95" s="99" t="s">
        <v>445</v>
      </c>
      <c r="D95" s="85" t="s">
        <v>11</v>
      </c>
      <c r="E95" s="99">
        <v>490</v>
      </c>
      <c r="F95" s="100"/>
      <c r="G95" s="70" t="s">
        <v>819</v>
      </c>
      <c r="H95" s="102">
        <f t="shared" si="0"/>
        <v>0</v>
      </c>
      <c r="I95" s="1">
        <v>1</v>
      </c>
    </row>
    <row r="96" spans="2:9" ht="20.25" hidden="1" x14ac:dyDescent="0.3">
      <c r="B96" s="117">
        <v>4780019430475</v>
      </c>
      <c r="C96" s="99" t="s">
        <v>445</v>
      </c>
      <c r="D96" s="85" t="s">
        <v>574</v>
      </c>
      <c r="E96" s="99">
        <v>2300</v>
      </c>
      <c r="F96" s="102"/>
      <c r="G96" s="70" t="s">
        <v>819</v>
      </c>
      <c r="H96" s="102">
        <f t="shared" si="0"/>
        <v>0</v>
      </c>
      <c r="I96" s="1">
        <v>1</v>
      </c>
    </row>
    <row r="97" spans="2:12" ht="20.25" hidden="1" x14ac:dyDescent="0.3">
      <c r="B97" s="117">
        <v>4780019430499</v>
      </c>
      <c r="C97" s="99" t="s">
        <v>445</v>
      </c>
      <c r="D97" s="85" t="s">
        <v>608</v>
      </c>
      <c r="E97" s="99">
        <v>14000</v>
      </c>
      <c r="F97" s="102"/>
      <c r="G97" s="70" t="s">
        <v>819</v>
      </c>
      <c r="H97" s="102">
        <f t="shared" si="0"/>
        <v>0</v>
      </c>
      <c r="I97" s="1">
        <v>1</v>
      </c>
      <c r="K97" s="52"/>
    </row>
    <row r="98" spans="2:12" ht="20.25" hidden="1" x14ac:dyDescent="0.3">
      <c r="B98" s="117">
        <v>4780019430369</v>
      </c>
      <c r="C98" s="99" t="s">
        <v>445</v>
      </c>
      <c r="D98" s="85" t="s">
        <v>519</v>
      </c>
      <c r="E98" s="99">
        <v>19500</v>
      </c>
      <c r="F98" s="102"/>
      <c r="G98" s="70" t="s">
        <v>819</v>
      </c>
      <c r="H98" s="102">
        <f t="shared" si="0"/>
        <v>0</v>
      </c>
      <c r="I98" s="1">
        <v>1</v>
      </c>
    </row>
    <row r="99" spans="2:12" ht="20.25" hidden="1" x14ac:dyDescent="0.3">
      <c r="B99" s="117">
        <v>4780019430352</v>
      </c>
      <c r="C99" s="99" t="s">
        <v>445</v>
      </c>
      <c r="D99" s="85" t="s">
        <v>520</v>
      </c>
      <c r="E99" s="99">
        <v>13000</v>
      </c>
      <c r="F99" s="102"/>
      <c r="G99" s="70" t="s">
        <v>819</v>
      </c>
      <c r="H99" s="102">
        <f t="shared" si="0"/>
        <v>0</v>
      </c>
      <c r="I99" s="1">
        <v>1</v>
      </c>
    </row>
    <row r="100" spans="2:12" ht="18.75" hidden="1" x14ac:dyDescent="0.3">
      <c r="B100" s="21">
        <v>8719992179855</v>
      </c>
      <c r="C100" s="14" t="s">
        <v>651</v>
      </c>
      <c r="D100" s="44" t="s">
        <v>638</v>
      </c>
      <c r="E100" s="70">
        <v>23000</v>
      </c>
      <c r="F100" s="72"/>
      <c r="G100" s="72" t="s">
        <v>462</v>
      </c>
      <c r="H100" s="72">
        <f t="shared" si="0"/>
        <v>0</v>
      </c>
      <c r="I100" s="1">
        <v>0</v>
      </c>
    </row>
    <row r="101" spans="2:12" ht="18.75" hidden="1" x14ac:dyDescent="0.3">
      <c r="B101" s="69"/>
      <c r="C101" s="70"/>
      <c r="D101" s="44" t="s">
        <v>639</v>
      </c>
      <c r="E101" s="70"/>
      <c r="F101" s="72"/>
      <c r="G101" s="72" t="s">
        <v>462</v>
      </c>
      <c r="H101" s="72">
        <f t="shared" si="0"/>
        <v>0</v>
      </c>
      <c r="I101" s="1">
        <v>0</v>
      </c>
      <c r="L101" s="52"/>
    </row>
    <row r="102" spans="2:12" ht="18.75" hidden="1" x14ac:dyDescent="0.3">
      <c r="B102" s="69"/>
      <c r="C102" s="70"/>
      <c r="D102" s="44" t="s">
        <v>640</v>
      </c>
      <c r="E102" s="70">
        <v>80000</v>
      </c>
      <c r="F102" s="72"/>
      <c r="G102" s="72" t="s">
        <v>462</v>
      </c>
      <c r="H102" s="72">
        <f t="shared" si="0"/>
        <v>0</v>
      </c>
      <c r="I102" s="1">
        <v>0</v>
      </c>
    </row>
    <row r="103" spans="2:12" ht="18.75" hidden="1" x14ac:dyDescent="0.3">
      <c r="B103" s="21">
        <v>8719325897319</v>
      </c>
      <c r="C103" s="14" t="s">
        <v>651</v>
      </c>
      <c r="D103" s="44" t="s">
        <v>641</v>
      </c>
      <c r="E103" s="70">
        <v>5600</v>
      </c>
      <c r="F103" s="72"/>
      <c r="G103" s="72" t="s">
        <v>462</v>
      </c>
      <c r="H103" s="72">
        <f t="shared" si="0"/>
        <v>0</v>
      </c>
      <c r="I103" s="1">
        <v>0</v>
      </c>
    </row>
    <row r="104" spans="2:12" ht="18.75" hidden="1" x14ac:dyDescent="0.3">
      <c r="B104" s="21">
        <v>8719325897180</v>
      </c>
      <c r="C104" s="14" t="s">
        <v>651</v>
      </c>
      <c r="D104" s="44" t="s">
        <v>642</v>
      </c>
      <c r="E104" s="70">
        <v>3500</v>
      </c>
      <c r="F104" s="72"/>
      <c r="G104" s="72" t="s">
        <v>462</v>
      </c>
      <c r="H104" s="72">
        <f t="shared" si="0"/>
        <v>0</v>
      </c>
      <c r="I104" s="1">
        <v>0</v>
      </c>
    </row>
    <row r="105" spans="2:12" ht="18.75" hidden="1" x14ac:dyDescent="0.3">
      <c r="B105" s="21">
        <v>8719325897173</v>
      </c>
      <c r="C105" s="14" t="s">
        <v>651</v>
      </c>
      <c r="D105" s="44" t="s">
        <v>643</v>
      </c>
      <c r="E105" s="70">
        <v>3600</v>
      </c>
      <c r="F105" s="72"/>
      <c r="G105" s="72" t="s">
        <v>462</v>
      </c>
      <c r="H105" s="72">
        <f t="shared" si="0"/>
        <v>0</v>
      </c>
      <c r="I105" s="1">
        <v>0</v>
      </c>
    </row>
    <row r="106" spans="2:12" ht="18.75" hidden="1" x14ac:dyDescent="0.3">
      <c r="B106" s="69"/>
      <c r="C106" s="70"/>
      <c r="D106" s="44" t="s">
        <v>644</v>
      </c>
      <c r="E106" s="70">
        <v>19000</v>
      </c>
      <c r="F106" s="72"/>
      <c r="G106" s="72" t="s">
        <v>462</v>
      </c>
      <c r="H106" s="72">
        <f t="shared" si="0"/>
        <v>0</v>
      </c>
      <c r="I106" s="1">
        <v>0</v>
      </c>
    </row>
    <row r="107" spans="2:12" ht="18.75" hidden="1" x14ac:dyDescent="0.3">
      <c r="B107" s="69"/>
      <c r="C107" s="70"/>
      <c r="D107" s="44" t="s">
        <v>645</v>
      </c>
      <c r="E107" s="70">
        <v>19000</v>
      </c>
      <c r="F107" s="72"/>
      <c r="G107" s="72" t="s">
        <v>462</v>
      </c>
      <c r="H107" s="72">
        <f t="shared" si="0"/>
        <v>0</v>
      </c>
      <c r="I107" s="1">
        <v>0</v>
      </c>
    </row>
    <row r="108" spans="2:12" ht="18.75" hidden="1" x14ac:dyDescent="0.3">
      <c r="B108" s="69"/>
      <c r="C108" s="70"/>
      <c r="D108" s="44" t="s">
        <v>646</v>
      </c>
      <c r="E108" s="70">
        <v>19000</v>
      </c>
      <c r="F108" s="72"/>
      <c r="G108" s="72" t="s">
        <v>462</v>
      </c>
      <c r="H108" s="72">
        <f t="shared" si="0"/>
        <v>0</v>
      </c>
      <c r="I108" s="1">
        <v>0</v>
      </c>
    </row>
    <row r="109" spans="2:12" ht="18.75" hidden="1" x14ac:dyDescent="0.3">
      <c r="B109" s="69"/>
      <c r="C109" s="70"/>
      <c r="D109" s="44" t="s">
        <v>647</v>
      </c>
      <c r="E109" s="70">
        <v>22000</v>
      </c>
      <c r="F109" s="72"/>
      <c r="G109" s="72" t="s">
        <v>462</v>
      </c>
      <c r="H109" s="72">
        <f t="shared" si="0"/>
        <v>0</v>
      </c>
      <c r="I109" s="1">
        <v>0</v>
      </c>
    </row>
    <row r="110" spans="2:12" ht="18.75" hidden="1" x14ac:dyDescent="0.3">
      <c r="B110" s="69"/>
      <c r="C110" s="70"/>
      <c r="D110" s="44" t="s">
        <v>648</v>
      </c>
      <c r="E110" s="70">
        <v>23000</v>
      </c>
      <c r="F110" s="72"/>
      <c r="G110" s="72" t="s">
        <v>462</v>
      </c>
      <c r="H110" s="72">
        <f t="shared" si="0"/>
        <v>0</v>
      </c>
      <c r="I110" s="1">
        <v>0</v>
      </c>
    </row>
    <row r="111" spans="2:12" ht="18.75" hidden="1" x14ac:dyDescent="0.3">
      <c r="B111" s="69"/>
      <c r="C111" s="70"/>
      <c r="D111" s="44" t="s">
        <v>649</v>
      </c>
      <c r="E111" s="70">
        <v>23000</v>
      </c>
      <c r="F111" s="72"/>
      <c r="G111" s="72" t="s">
        <v>462</v>
      </c>
      <c r="H111" s="72">
        <f t="shared" si="0"/>
        <v>0</v>
      </c>
      <c r="I111" s="1">
        <v>0</v>
      </c>
    </row>
    <row r="112" spans="2:12" ht="18.75" hidden="1" x14ac:dyDescent="0.3">
      <c r="B112" s="69"/>
      <c r="C112" s="70"/>
      <c r="D112" s="44" t="s">
        <v>650</v>
      </c>
      <c r="E112" s="70">
        <v>23000</v>
      </c>
      <c r="F112" s="72"/>
      <c r="G112" s="72" t="s">
        <v>462</v>
      </c>
      <c r="H112" s="72">
        <f t="shared" si="0"/>
        <v>0</v>
      </c>
      <c r="I112" s="1">
        <v>0</v>
      </c>
    </row>
    <row r="113" spans="2:9" ht="20.25" hidden="1" x14ac:dyDescent="0.3">
      <c r="B113" s="101" t="s">
        <v>871</v>
      </c>
      <c r="C113" s="70" t="s">
        <v>445</v>
      </c>
      <c r="D113" s="85" t="s">
        <v>872</v>
      </c>
      <c r="E113" s="99">
        <v>28000</v>
      </c>
      <c r="F113" s="72"/>
      <c r="G113" s="72" t="s">
        <v>462</v>
      </c>
      <c r="H113" s="72">
        <f t="shared" si="0"/>
        <v>0</v>
      </c>
      <c r="I113" s="1">
        <v>1</v>
      </c>
    </row>
    <row r="114" spans="2:9" ht="22.5" hidden="1" x14ac:dyDescent="0.3">
      <c r="B114" s="118">
        <v>4607065717933</v>
      </c>
      <c r="C114" s="70" t="s">
        <v>521</v>
      </c>
      <c r="D114" s="110" t="s">
        <v>670</v>
      </c>
      <c r="E114" s="99">
        <v>16500</v>
      </c>
      <c r="F114" s="100"/>
      <c r="G114" s="70" t="s">
        <v>819</v>
      </c>
      <c r="H114" s="102">
        <f t="shared" si="0"/>
        <v>0</v>
      </c>
      <c r="I114" s="1">
        <v>1</v>
      </c>
    </row>
    <row r="115" spans="2:9" ht="21" hidden="1" customHeight="1" x14ac:dyDescent="0.3">
      <c r="B115" s="119">
        <v>4607065711764</v>
      </c>
      <c r="C115" s="70" t="s">
        <v>521</v>
      </c>
      <c r="D115" s="72" t="s">
        <v>522</v>
      </c>
      <c r="E115" s="99">
        <v>16500</v>
      </c>
      <c r="F115" s="103"/>
      <c r="G115" s="70" t="s">
        <v>819</v>
      </c>
      <c r="H115" s="99">
        <f t="shared" si="0"/>
        <v>0</v>
      </c>
      <c r="I115" s="1">
        <v>1</v>
      </c>
    </row>
    <row r="116" spans="2:9" ht="21" hidden="1" customHeight="1" x14ac:dyDescent="0.3">
      <c r="B116" s="120">
        <v>4607065711757</v>
      </c>
      <c r="C116" s="70" t="s">
        <v>521</v>
      </c>
      <c r="D116" s="72" t="s">
        <v>523</v>
      </c>
      <c r="E116" s="99">
        <v>16500</v>
      </c>
      <c r="F116" s="100"/>
      <c r="G116" s="70" t="s">
        <v>819</v>
      </c>
      <c r="H116" s="99">
        <f t="shared" si="0"/>
        <v>0</v>
      </c>
      <c r="I116" s="1">
        <v>1</v>
      </c>
    </row>
    <row r="117" spans="2:9" ht="21" hidden="1" customHeight="1" x14ac:dyDescent="0.3">
      <c r="B117" s="121">
        <v>4607065711689</v>
      </c>
      <c r="C117" s="70" t="s">
        <v>521</v>
      </c>
      <c r="D117" s="72" t="s">
        <v>524</v>
      </c>
      <c r="E117" s="99">
        <v>16500</v>
      </c>
      <c r="F117" s="100"/>
      <c r="G117" s="70" t="s">
        <v>819</v>
      </c>
      <c r="H117" s="99">
        <f t="shared" si="0"/>
        <v>0</v>
      </c>
      <c r="I117" s="1">
        <v>1</v>
      </c>
    </row>
    <row r="118" spans="2:9" ht="21" hidden="1" customHeight="1" x14ac:dyDescent="0.3">
      <c r="B118" s="120">
        <v>4607065711788</v>
      </c>
      <c r="C118" s="70" t="s">
        <v>521</v>
      </c>
      <c r="D118" s="72" t="s">
        <v>525</v>
      </c>
      <c r="E118" s="99">
        <v>16500</v>
      </c>
      <c r="F118" s="100"/>
      <c r="G118" s="70" t="s">
        <v>819</v>
      </c>
      <c r="H118" s="99">
        <f t="shared" ref="H118:H166" si="1">+F118*E118</f>
        <v>0</v>
      </c>
      <c r="I118" s="1">
        <v>1</v>
      </c>
    </row>
    <row r="119" spans="2:9" ht="20.25" hidden="1" x14ac:dyDescent="0.3">
      <c r="B119" s="122">
        <v>4660011131740</v>
      </c>
      <c r="C119" s="70" t="s">
        <v>521</v>
      </c>
      <c r="D119" s="72" t="s">
        <v>548</v>
      </c>
      <c r="E119" s="99">
        <v>16500</v>
      </c>
      <c r="F119" s="103"/>
      <c r="G119" s="70" t="s">
        <v>819</v>
      </c>
      <c r="H119" s="99">
        <f t="shared" si="1"/>
        <v>0</v>
      </c>
      <c r="I119" s="1">
        <v>1</v>
      </c>
    </row>
    <row r="120" spans="2:9" ht="21" customHeight="1" x14ac:dyDescent="0.3">
      <c r="B120" s="123">
        <v>4607065714505</v>
      </c>
      <c r="C120" s="70" t="s">
        <v>521</v>
      </c>
      <c r="D120" s="72" t="s">
        <v>526</v>
      </c>
      <c r="E120" s="99">
        <v>16500</v>
      </c>
      <c r="F120" s="103">
        <v>20</v>
      </c>
      <c r="G120" s="70" t="s">
        <v>819</v>
      </c>
      <c r="H120" s="99">
        <f t="shared" si="1"/>
        <v>330000</v>
      </c>
      <c r="I120" s="1">
        <v>1</v>
      </c>
    </row>
    <row r="121" spans="2:9" ht="21" customHeight="1" x14ac:dyDescent="0.3">
      <c r="B121" s="124">
        <v>4607065712129</v>
      </c>
      <c r="C121" s="70" t="s">
        <v>521</v>
      </c>
      <c r="D121" s="72" t="s">
        <v>539</v>
      </c>
      <c r="E121" s="99">
        <v>16500</v>
      </c>
      <c r="F121" s="103">
        <v>20</v>
      </c>
      <c r="G121" s="70" t="s">
        <v>819</v>
      </c>
      <c r="H121" s="99">
        <f t="shared" si="1"/>
        <v>330000</v>
      </c>
      <c r="I121" s="1">
        <v>1</v>
      </c>
    </row>
    <row r="122" spans="2:9" ht="21" hidden="1" customHeight="1" x14ac:dyDescent="0.3">
      <c r="B122" s="124">
        <v>4607065712136</v>
      </c>
      <c r="C122" s="70" t="s">
        <v>521</v>
      </c>
      <c r="D122" s="72" t="s">
        <v>541</v>
      </c>
      <c r="E122" s="99">
        <v>16500</v>
      </c>
      <c r="F122" s="103"/>
      <c r="G122" s="70" t="s">
        <v>819</v>
      </c>
      <c r="H122" s="99">
        <f t="shared" si="1"/>
        <v>0</v>
      </c>
      <c r="I122" s="1">
        <v>1</v>
      </c>
    </row>
    <row r="123" spans="2:9" ht="21" hidden="1" customHeight="1" x14ac:dyDescent="0.3">
      <c r="B123" s="124">
        <v>4607065717339</v>
      </c>
      <c r="C123" s="70" t="s">
        <v>521</v>
      </c>
      <c r="D123" s="72" t="s">
        <v>627</v>
      </c>
      <c r="E123" s="99">
        <v>16500</v>
      </c>
      <c r="F123" s="103"/>
      <c r="G123" s="70" t="s">
        <v>819</v>
      </c>
      <c r="H123" s="99">
        <f t="shared" si="1"/>
        <v>0</v>
      </c>
      <c r="I123" s="1">
        <v>1</v>
      </c>
    </row>
    <row r="124" spans="2:9" ht="21" hidden="1" customHeight="1" x14ac:dyDescent="0.3">
      <c r="B124" s="124">
        <v>4607065714161</v>
      </c>
      <c r="C124" s="70" t="s">
        <v>521</v>
      </c>
      <c r="D124" s="72" t="s">
        <v>540</v>
      </c>
      <c r="E124" s="99">
        <v>16500</v>
      </c>
      <c r="F124" s="103"/>
      <c r="G124" s="70" t="s">
        <v>819</v>
      </c>
      <c r="H124" s="99">
        <f t="shared" si="1"/>
        <v>0</v>
      </c>
      <c r="I124" s="1">
        <v>1</v>
      </c>
    </row>
    <row r="125" spans="2:9" ht="21" customHeight="1" x14ac:dyDescent="0.3">
      <c r="B125" s="124">
        <v>4607065711894</v>
      </c>
      <c r="C125" s="70" t="s">
        <v>521</v>
      </c>
      <c r="D125" s="72" t="s">
        <v>546</v>
      </c>
      <c r="E125" s="99">
        <v>16500</v>
      </c>
      <c r="F125" s="103">
        <v>10</v>
      </c>
      <c r="G125" s="70" t="s">
        <v>819</v>
      </c>
      <c r="H125" s="99">
        <f t="shared" si="1"/>
        <v>165000</v>
      </c>
      <c r="I125" s="1">
        <v>1</v>
      </c>
    </row>
    <row r="126" spans="2:9" ht="21" hidden="1" customHeight="1" x14ac:dyDescent="0.3">
      <c r="B126" s="125">
        <v>4607065713188</v>
      </c>
      <c r="C126" s="70" t="s">
        <v>521</v>
      </c>
      <c r="D126" s="72" t="s">
        <v>547</v>
      </c>
      <c r="E126" s="99">
        <v>16500</v>
      </c>
      <c r="F126" s="103"/>
      <c r="G126" s="70" t="s">
        <v>819</v>
      </c>
      <c r="H126" s="99">
        <f t="shared" si="1"/>
        <v>0</v>
      </c>
      <c r="I126" s="1">
        <v>1</v>
      </c>
    </row>
    <row r="127" spans="2:9" ht="21" hidden="1" customHeight="1" x14ac:dyDescent="0.3">
      <c r="B127" s="125">
        <v>4660011131757</v>
      </c>
      <c r="C127" s="70" t="s">
        <v>521</v>
      </c>
      <c r="D127" s="72" t="s">
        <v>549</v>
      </c>
      <c r="E127" s="99">
        <v>16500</v>
      </c>
      <c r="F127" s="103"/>
      <c r="G127" s="70" t="s">
        <v>819</v>
      </c>
      <c r="H127" s="99">
        <f t="shared" si="1"/>
        <v>0</v>
      </c>
      <c r="I127" s="1">
        <v>1</v>
      </c>
    </row>
    <row r="128" spans="2:9" ht="21" hidden="1" customHeight="1" x14ac:dyDescent="0.3">
      <c r="B128" s="124">
        <v>4607065711740</v>
      </c>
      <c r="C128" s="70" t="s">
        <v>521</v>
      </c>
      <c r="D128" s="72" t="s">
        <v>550</v>
      </c>
      <c r="E128" s="99">
        <v>16500</v>
      </c>
      <c r="F128" s="103"/>
      <c r="G128" s="70" t="s">
        <v>819</v>
      </c>
      <c r="H128" s="99">
        <f t="shared" si="1"/>
        <v>0</v>
      </c>
      <c r="I128" s="1">
        <v>1</v>
      </c>
    </row>
    <row r="129" spans="2:9" ht="21" hidden="1" customHeight="1" x14ac:dyDescent="0.3">
      <c r="B129" s="124">
        <v>4607065718046</v>
      </c>
      <c r="C129" s="70" t="s">
        <v>521</v>
      </c>
      <c r="D129" s="72" t="s">
        <v>816</v>
      </c>
      <c r="E129" s="99">
        <v>16500</v>
      </c>
      <c r="F129" s="103"/>
      <c r="G129" s="70" t="s">
        <v>819</v>
      </c>
      <c r="H129" s="99">
        <f t="shared" si="1"/>
        <v>0</v>
      </c>
      <c r="I129" s="1">
        <v>1</v>
      </c>
    </row>
    <row r="130" spans="2:9" ht="21" hidden="1" customHeight="1" x14ac:dyDescent="0.3">
      <c r="B130" s="126">
        <v>4607065718039</v>
      </c>
      <c r="C130" s="74" t="s">
        <v>521</v>
      </c>
      <c r="D130" s="73" t="s">
        <v>673</v>
      </c>
      <c r="E130" s="104">
        <v>18500</v>
      </c>
      <c r="F130" s="103"/>
      <c r="G130" s="70" t="s">
        <v>819</v>
      </c>
      <c r="H130" s="99">
        <f t="shared" si="1"/>
        <v>0</v>
      </c>
      <c r="I130" s="1">
        <v>1</v>
      </c>
    </row>
    <row r="131" spans="2:9" ht="21" customHeight="1" x14ac:dyDescent="0.3">
      <c r="B131" s="126">
        <v>4607065718022</v>
      </c>
      <c r="C131" s="74" t="s">
        <v>521</v>
      </c>
      <c r="D131" s="73" t="s">
        <v>672</v>
      </c>
      <c r="E131" s="104">
        <v>18500</v>
      </c>
      <c r="F131" s="103">
        <v>9</v>
      </c>
      <c r="G131" s="70" t="s">
        <v>819</v>
      </c>
      <c r="H131" s="99">
        <f t="shared" si="1"/>
        <v>166500</v>
      </c>
      <c r="I131" s="1">
        <v>1</v>
      </c>
    </row>
    <row r="132" spans="2:9" ht="21" customHeight="1" x14ac:dyDescent="0.3">
      <c r="B132" s="124">
        <v>4607065717483</v>
      </c>
      <c r="C132" s="70" t="s">
        <v>521</v>
      </c>
      <c r="D132" s="72" t="s">
        <v>662</v>
      </c>
      <c r="E132" s="104">
        <v>18500</v>
      </c>
      <c r="F132" s="103">
        <v>10</v>
      </c>
      <c r="G132" s="70" t="s">
        <v>819</v>
      </c>
      <c r="H132" s="99">
        <f t="shared" si="1"/>
        <v>185000</v>
      </c>
      <c r="I132" s="1">
        <v>1</v>
      </c>
    </row>
    <row r="133" spans="2:9" ht="21" hidden="1" customHeight="1" x14ac:dyDescent="0.3">
      <c r="B133" s="124">
        <v>4607065717490</v>
      </c>
      <c r="C133" s="70" t="s">
        <v>521</v>
      </c>
      <c r="D133" s="72" t="s">
        <v>663</v>
      </c>
      <c r="E133" s="104">
        <v>18500</v>
      </c>
      <c r="F133" s="103"/>
      <c r="G133" s="70" t="s">
        <v>819</v>
      </c>
      <c r="H133" s="99">
        <f t="shared" si="1"/>
        <v>0</v>
      </c>
      <c r="I133" s="1">
        <v>1</v>
      </c>
    </row>
    <row r="134" spans="2:9" ht="21" hidden="1" customHeight="1" x14ac:dyDescent="0.3">
      <c r="B134" s="125">
        <v>4607065715069</v>
      </c>
      <c r="C134" s="70" t="s">
        <v>521</v>
      </c>
      <c r="D134" s="72" t="s">
        <v>557</v>
      </c>
      <c r="E134" s="104">
        <v>18500</v>
      </c>
      <c r="F134" s="100"/>
      <c r="G134" s="70" t="s">
        <v>819</v>
      </c>
      <c r="H134" s="99">
        <f t="shared" si="1"/>
        <v>0</v>
      </c>
      <c r="I134" s="1">
        <v>1</v>
      </c>
    </row>
    <row r="135" spans="2:9" ht="21" hidden="1" customHeight="1" x14ac:dyDescent="0.3">
      <c r="B135" s="124">
        <v>4607065714116</v>
      </c>
      <c r="C135" s="70" t="s">
        <v>521</v>
      </c>
      <c r="D135" s="72" t="s">
        <v>558</v>
      </c>
      <c r="E135" s="104">
        <v>18500</v>
      </c>
      <c r="F135" s="100"/>
      <c r="G135" s="70" t="s">
        <v>819</v>
      </c>
      <c r="H135" s="99">
        <f t="shared" si="1"/>
        <v>0</v>
      </c>
      <c r="I135" s="1">
        <v>1</v>
      </c>
    </row>
    <row r="136" spans="2:9" ht="21" hidden="1" customHeight="1" x14ac:dyDescent="0.3">
      <c r="B136" s="124">
        <v>4607065714093</v>
      </c>
      <c r="C136" s="70" t="s">
        <v>521</v>
      </c>
      <c r="D136" s="72" t="s">
        <v>593</v>
      </c>
      <c r="E136" s="104">
        <v>18500</v>
      </c>
      <c r="F136" s="100"/>
      <c r="G136" s="70" t="s">
        <v>819</v>
      </c>
      <c r="H136" s="99">
        <f t="shared" si="1"/>
        <v>0</v>
      </c>
      <c r="I136" s="1">
        <v>1</v>
      </c>
    </row>
    <row r="137" spans="2:9" ht="21" hidden="1" customHeight="1" x14ac:dyDescent="0.3">
      <c r="B137" s="125">
        <v>4607065714086</v>
      </c>
      <c r="C137" s="70" t="s">
        <v>521</v>
      </c>
      <c r="D137" s="72" t="s">
        <v>559</v>
      </c>
      <c r="E137" s="104">
        <v>18500</v>
      </c>
      <c r="F137" s="100"/>
      <c r="G137" s="70" t="s">
        <v>819</v>
      </c>
      <c r="H137" s="99">
        <f t="shared" si="1"/>
        <v>0</v>
      </c>
      <c r="I137" s="1">
        <v>1</v>
      </c>
    </row>
    <row r="138" spans="2:9" ht="21" hidden="1" customHeight="1" x14ac:dyDescent="0.3">
      <c r="B138" s="125">
        <v>4607065718770</v>
      </c>
      <c r="C138" s="70" t="s">
        <v>521</v>
      </c>
      <c r="D138" s="72" t="s">
        <v>817</v>
      </c>
      <c r="E138" s="104">
        <v>18500</v>
      </c>
      <c r="F138" s="100"/>
      <c r="G138" s="70" t="s">
        <v>819</v>
      </c>
      <c r="H138" s="99">
        <f t="shared" si="1"/>
        <v>0</v>
      </c>
      <c r="I138" s="1">
        <v>1</v>
      </c>
    </row>
    <row r="139" spans="2:9" ht="21" hidden="1" customHeight="1" x14ac:dyDescent="0.3">
      <c r="B139" s="124">
        <v>4607065715953</v>
      </c>
      <c r="C139" s="70" t="s">
        <v>521</v>
      </c>
      <c r="D139" s="73" t="s">
        <v>560</v>
      </c>
      <c r="E139" s="104">
        <v>18500</v>
      </c>
      <c r="F139" s="100"/>
      <c r="G139" s="70" t="s">
        <v>819</v>
      </c>
      <c r="H139" s="99">
        <f t="shared" si="1"/>
        <v>0</v>
      </c>
      <c r="I139" s="1">
        <v>1</v>
      </c>
    </row>
    <row r="140" spans="2:9" ht="21" customHeight="1" x14ac:dyDescent="0.3">
      <c r="B140" s="124">
        <v>4607065718374</v>
      </c>
      <c r="C140" s="70" t="s">
        <v>521</v>
      </c>
      <c r="D140" s="73" t="s">
        <v>677</v>
      </c>
      <c r="E140" s="104">
        <v>18500</v>
      </c>
      <c r="F140" s="100">
        <v>10</v>
      </c>
      <c r="G140" s="70" t="s">
        <v>819</v>
      </c>
      <c r="H140" s="99">
        <f t="shared" si="1"/>
        <v>185000</v>
      </c>
      <c r="I140" s="1">
        <v>1</v>
      </c>
    </row>
    <row r="141" spans="2:9" ht="21" hidden="1" customHeight="1" x14ac:dyDescent="0.3">
      <c r="B141" s="124">
        <v>4607065718268</v>
      </c>
      <c r="C141" s="70" t="s">
        <v>521</v>
      </c>
      <c r="D141" s="100" t="s">
        <v>676</v>
      </c>
      <c r="E141" s="104">
        <v>18500</v>
      </c>
      <c r="F141" s="100"/>
      <c r="G141" s="70" t="s">
        <v>819</v>
      </c>
      <c r="H141" s="99">
        <f t="shared" si="1"/>
        <v>0</v>
      </c>
      <c r="I141" s="1">
        <v>1</v>
      </c>
    </row>
    <row r="142" spans="2:9" ht="21" hidden="1" customHeight="1" x14ac:dyDescent="0.3">
      <c r="B142" s="124">
        <v>4607065718275</v>
      </c>
      <c r="C142" s="70" t="s">
        <v>521</v>
      </c>
      <c r="D142" s="100" t="s">
        <v>675</v>
      </c>
      <c r="E142" s="104">
        <v>18500</v>
      </c>
      <c r="F142" s="100"/>
      <c r="G142" s="70" t="s">
        <v>819</v>
      </c>
      <c r="H142" s="99">
        <f t="shared" si="1"/>
        <v>0</v>
      </c>
      <c r="I142" s="1">
        <v>1</v>
      </c>
    </row>
    <row r="143" spans="2:9" ht="21" hidden="1" customHeight="1" x14ac:dyDescent="0.3">
      <c r="B143" s="124">
        <v>4607065716288</v>
      </c>
      <c r="C143" s="70" t="s">
        <v>521</v>
      </c>
      <c r="D143" s="72" t="s">
        <v>569</v>
      </c>
      <c r="E143" s="102">
        <v>21000</v>
      </c>
      <c r="F143" s="100"/>
      <c r="G143" s="70" t="s">
        <v>819</v>
      </c>
      <c r="H143" s="99">
        <f t="shared" si="1"/>
        <v>0</v>
      </c>
      <c r="I143" s="1">
        <v>1</v>
      </c>
    </row>
    <row r="144" spans="2:9" ht="21" customHeight="1" x14ac:dyDescent="0.3">
      <c r="B144" s="124">
        <v>4607065716301</v>
      </c>
      <c r="C144" s="70" t="s">
        <v>521</v>
      </c>
      <c r="D144" s="72" t="s">
        <v>604</v>
      </c>
      <c r="E144" s="102">
        <v>21000</v>
      </c>
      <c r="F144" s="100">
        <v>18</v>
      </c>
      <c r="G144" s="70" t="s">
        <v>819</v>
      </c>
      <c r="H144" s="99">
        <f t="shared" si="1"/>
        <v>378000</v>
      </c>
      <c r="I144" s="1">
        <v>1</v>
      </c>
    </row>
    <row r="145" spans="2:9" ht="21" hidden="1" customHeight="1" x14ac:dyDescent="0.3">
      <c r="B145" s="124">
        <v>4607065717285</v>
      </c>
      <c r="C145" s="70" t="s">
        <v>521</v>
      </c>
      <c r="D145" s="72" t="s">
        <v>611</v>
      </c>
      <c r="E145" s="102">
        <v>12500</v>
      </c>
      <c r="F145" s="102"/>
      <c r="G145" s="70" t="s">
        <v>819</v>
      </c>
      <c r="H145" s="99">
        <f t="shared" si="1"/>
        <v>0</v>
      </c>
      <c r="I145" s="1">
        <v>1</v>
      </c>
    </row>
    <row r="146" spans="2:9" ht="21" hidden="1" customHeight="1" x14ac:dyDescent="0.3">
      <c r="B146" s="124">
        <v>4607065717278</v>
      </c>
      <c r="C146" s="70" t="s">
        <v>521</v>
      </c>
      <c r="D146" s="72" t="s">
        <v>612</v>
      </c>
      <c r="E146" s="102">
        <v>12500</v>
      </c>
      <c r="F146" s="102"/>
      <c r="G146" s="70" t="s">
        <v>819</v>
      </c>
      <c r="H146" s="99">
        <f t="shared" si="1"/>
        <v>0</v>
      </c>
      <c r="I146" s="1">
        <v>1</v>
      </c>
    </row>
    <row r="147" spans="2:9" ht="21" customHeight="1" x14ac:dyDescent="0.3">
      <c r="B147" s="124">
        <v>4607065719692</v>
      </c>
      <c r="C147" s="70" t="s">
        <v>521</v>
      </c>
      <c r="D147" s="72" t="s">
        <v>878</v>
      </c>
      <c r="E147" s="102">
        <v>12500</v>
      </c>
      <c r="F147" s="100">
        <v>34</v>
      </c>
      <c r="G147" s="70" t="s">
        <v>819</v>
      </c>
      <c r="H147" s="99">
        <f t="shared" si="1"/>
        <v>425000</v>
      </c>
      <c r="I147" s="1">
        <v>1</v>
      </c>
    </row>
    <row r="148" spans="2:9" ht="21" customHeight="1" x14ac:dyDescent="0.3">
      <c r="B148" s="124">
        <v>4607065719746</v>
      </c>
      <c r="C148" s="70" t="s">
        <v>521</v>
      </c>
      <c r="D148" s="72" t="s">
        <v>877</v>
      </c>
      <c r="E148" s="102">
        <v>8200</v>
      </c>
      <c r="F148" s="100">
        <v>34</v>
      </c>
      <c r="G148" s="70" t="s">
        <v>819</v>
      </c>
      <c r="H148" s="99">
        <f t="shared" si="1"/>
        <v>278800</v>
      </c>
      <c r="I148" s="1">
        <v>1</v>
      </c>
    </row>
    <row r="149" spans="2:9" ht="21" customHeight="1" x14ac:dyDescent="0.3">
      <c r="B149" s="124">
        <v>4607065719715</v>
      </c>
      <c r="C149" s="70" t="s">
        <v>521</v>
      </c>
      <c r="D149" s="72" t="s">
        <v>879</v>
      </c>
      <c r="E149" s="102">
        <v>8200</v>
      </c>
      <c r="F149" s="100">
        <v>34</v>
      </c>
      <c r="G149" s="70" t="s">
        <v>819</v>
      </c>
      <c r="H149" s="99">
        <f t="shared" si="1"/>
        <v>278800</v>
      </c>
      <c r="I149" s="1">
        <v>1</v>
      </c>
    </row>
    <row r="150" spans="2:9" ht="21" customHeight="1" x14ac:dyDescent="0.3">
      <c r="B150" s="124">
        <v>4607065719739</v>
      </c>
      <c r="C150" s="70" t="s">
        <v>521</v>
      </c>
      <c r="D150" s="72" t="s">
        <v>880</v>
      </c>
      <c r="E150" s="102">
        <v>8200</v>
      </c>
      <c r="F150" s="100">
        <v>34</v>
      </c>
      <c r="G150" s="70" t="s">
        <v>819</v>
      </c>
      <c r="H150" s="99">
        <f t="shared" si="1"/>
        <v>278800</v>
      </c>
      <c r="I150" s="1">
        <v>1</v>
      </c>
    </row>
    <row r="151" spans="2:9" ht="21" customHeight="1" x14ac:dyDescent="0.3">
      <c r="B151" s="124">
        <v>4607065719722</v>
      </c>
      <c r="C151" s="70" t="s">
        <v>521</v>
      </c>
      <c r="D151" s="72" t="s">
        <v>881</v>
      </c>
      <c r="E151" s="102">
        <v>8200</v>
      </c>
      <c r="F151" s="100">
        <v>34</v>
      </c>
      <c r="G151" s="70" t="s">
        <v>819</v>
      </c>
      <c r="H151" s="99">
        <f t="shared" si="1"/>
        <v>278800</v>
      </c>
      <c r="I151" s="1">
        <v>1</v>
      </c>
    </row>
    <row r="152" spans="2:9" ht="21" hidden="1" customHeight="1" x14ac:dyDescent="0.3">
      <c r="B152" s="124">
        <v>4607065715151</v>
      </c>
      <c r="C152" s="70" t="s">
        <v>521</v>
      </c>
      <c r="D152" s="129" t="s">
        <v>572</v>
      </c>
      <c r="E152" s="102">
        <v>3750</v>
      </c>
      <c r="F152" s="102"/>
      <c r="G152" s="70" t="s">
        <v>819</v>
      </c>
      <c r="H152" s="99">
        <f t="shared" si="1"/>
        <v>0</v>
      </c>
      <c r="I152" s="1">
        <v>1</v>
      </c>
    </row>
    <row r="153" spans="2:9" ht="21" customHeight="1" x14ac:dyDescent="0.3">
      <c r="B153" s="124">
        <v>4607065715168</v>
      </c>
      <c r="C153" s="70" t="s">
        <v>521</v>
      </c>
      <c r="D153" s="129" t="s">
        <v>573</v>
      </c>
      <c r="E153" s="102">
        <v>7500</v>
      </c>
      <c r="F153" s="100">
        <v>18</v>
      </c>
      <c r="G153" s="70" t="s">
        <v>819</v>
      </c>
      <c r="H153" s="99">
        <f>+F153*E153</f>
        <v>135000</v>
      </c>
      <c r="I153" s="1">
        <v>1</v>
      </c>
    </row>
    <row r="154" spans="2:9" ht="21" customHeight="1" x14ac:dyDescent="0.3">
      <c r="B154" s="127">
        <v>4607065715175</v>
      </c>
      <c r="C154" s="70" t="s">
        <v>521</v>
      </c>
      <c r="D154" s="129" t="s">
        <v>603</v>
      </c>
      <c r="E154" s="102">
        <v>7500</v>
      </c>
      <c r="F154" s="100">
        <v>18</v>
      </c>
      <c r="G154" s="70" t="s">
        <v>819</v>
      </c>
      <c r="H154" s="99">
        <f>+F154*E154</f>
        <v>135000</v>
      </c>
      <c r="I154" s="1">
        <v>1</v>
      </c>
    </row>
    <row r="155" spans="2:9" ht="21" hidden="1" customHeight="1" x14ac:dyDescent="0.3">
      <c r="B155" s="127">
        <v>4607065718466</v>
      </c>
      <c r="C155" s="70" t="s">
        <v>521</v>
      </c>
      <c r="D155" s="129" t="s">
        <v>679</v>
      </c>
      <c r="E155" s="102">
        <v>9500</v>
      </c>
      <c r="F155" s="102"/>
      <c r="G155" s="70" t="s">
        <v>819</v>
      </c>
      <c r="H155" s="99">
        <f t="shared" ref="H155:H156" si="2">+F155*E155</f>
        <v>0</v>
      </c>
      <c r="I155" s="1">
        <v>1</v>
      </c>
    </row>
    <row r="156" spans="2:9" ht="21" hidden="1" customHeight="1" x14ac:dyDescent="0.3">
      <c r="B156" s="127">
        <v>4607065718459</v>
      </c>
      <c r="C156" s="70" t="s">
        <v>521</v>
      </c>
      <c r="D156" s="129" t="s">
        <v>680</v>
      </c>
      <c r="E156" s="102">
        <v>9500</v>
      </c>
      <c r="F156" s="102"/>
      <c r="G156" s="70" t="s">
        <v>819</v>
      </c>
      <c r="H156" s="99">
        <f t="shared" si="2"/>
        <v>0</v>
      </c>
      <c r="I156" s="1">
        <v>1</v>
      </c>
    </row>
    <row r="157" spans="2:9" ht="21" hidden="1" customHeight="1" x14ac:dyDescent="0.3">
      <c r="B157" s="121">
        <v>4607065715106</v>
      </c>
      <c r="C157" s="70" t="s">
        <v>521</v>
      </c>
      <c r="D157" s="96" t="s">
        <v>562</v>
      </c>
      <c r="E157" s="102">
        <v>9500</v>
      </c>
      <c r="F157" s="102"/>
      <c r="G157" s="70" t="s">
        <v>819</v>
      </c>
      <c r="H157" s="99">
        <f t="shared" si="1"/>
        <v>0</v>
      </c>
      <c r="I157" s="1">
        <v>1</v>
      </c>
    </row>
    <row r="158" spans="2:9" ht="21" customHeight="1" x14ac:dyDescent="0.3">
      <c r="B158" s="121">
        <v>4607065715656</v>
      </c>
      <c r="C158" s="70" t="s">
        <v>521</v>
      </c>
      <c r="D158" s="95" t="s">
        <v>563</v>
      </c>
      <c r="E158" s="102">
        <v>9500</v>
      </c>
      <c r="F158" s="100">
        <v>14</v>
      </c>
      <c r="G158" s="70" t="s">
        <v>819</v>
      </c>
      <c r="H158" s="99">
        <f t="shared" si="1"/>
        <v>133000</v>
      </c>
      <c r="I158" s="1">
        <v>1</v>
      </c>
    </row>
    <row r="159" spans="2:9" ht="21" hidden="1" customHeight="1" x14ac:dyDescent="0.3">
      <c r="B159" s="121">
        <v>4607065715113</v>
      </c>
      <c r="C159" s="70" t="s">
        <v>521</v>
      </c>
      <c r="D159" s="129" t="s">
        <v>564</v>
      </c>
      <c r="E159" s="102">
        <v>9500</v>
      </c>
      <c r="F159" s="102"/>
      <c r="G159" s="70" t="s">
        <v>819</v>
      </c>
      <c r="H159" s="99">
        <f t="shared" si="1"/>
        <v>0</v>
      </c>
      <c r="I159" s="1">
        <v>1</v>
      </c>
    </row>
    <row r="160" spans="2:9" ht="21" hidden="1" customHeight="1" x14ac:dyDescent="0.3">
      <c r="B160" s="121">
        <v>4607065715649</v>
      </c>
      <c r="C160" s="70" t="s">
        <v>521</v>
      </c>
      <c r="D160" s="130" t="s">
        <v>565</v>
      </c>
      <c r="E160" s="102">
        <v>9500</v>
      </c>
      <c r="F160" s="102"/>
      <c r="G160" s="70" t="s">
        <v>819</v>
      </c>
      <c r="H160" s="99">
        <f t="shared" si="1"/>
        <v>0</v>
      </c>
      <c r="I160" s="1">
        <v>1</v>
      </c>
    </row>
    <row r="161" spans="2:9" ht="21" hidden="1" customHeight="1" x14ac:dyDescent="0.3">
      <c r="B161" s="121">
        <v>4607065717872</v>
      </c>
      <c r="C161" s="70" t="s">
        <v>521</v>
      </c>
      <c r="D161" s="129" t="s">
        <v>664</v>
      </c>
      <c r="E161" s="102">
        <v>9500</v>
      </c>
      <c r="F161" s="102"/>
      <c r="G161" s="70" t="s">
        <v>819</v>
      </c>
      <c r="H161" s="99">
        <f t="shared" si="1"/>
        <v>0</v>
      </c>
      <c r="I161" s="1">
        <v>1</v>
      </c>
    </row>
    <row r="162" spans="2:9" ht="21" customHeight="1" x14ac:dyDescent="0.3">
      <c r="B162" s="121">
        <v>4607065717896</v>
      </c>
      <c r="C162" s="70" t="s">
        <v>521</v>
      </c>
      <c r="D162" s="129" t="s">
        <v>665</v>
      </c>
      <c r="E162" s="102">
        <v>9500</v>
      </c>
      <c r="F162" s="100">
        <v>11</v>
      </c>
      <c r="G162" s="70" t="s">
        <v>819</v>
      </c>
      <c r="H162" s="99">
        <f t="shared" si="1"/>
        <v>104500</v>
      </c>
      <c r="I162" s="1">
        <v>1</v>
      </c>
    </row>
    <row r="163" spans="2:9" ht="21" hidden="1" customHeight="1" x14ac:dyDescent="0.3">
      <c r="B163" s="121">
        <v>4607065715090</v>
      </c>
      <c r="C163" s="70" t="s">
        <v>521</v>
      </c>
      <c r="D163" s="129" t="s">
        <v>566</v>
      </c>
      <c r="E163" s="102">
        <v>9500</v>
      </c>
      <c r="F163" s="102"/>
      <c r="G163" s="70" t="s">
        <v>819</v>
      </c>
      <c r="H163" s="99">
        <f t="shared" si="1"/>
        <v>0</v>
      </c>
      <c r="I163" s="1">
        <v>1</v>
      </c>
    </row>
    <row r="164" spans="2:9" ht="21" customHeight="1" x14ac:dyDescent="0.3">
      <c r="B164" s="121">
        <v>4607065715182</v>
      </c>
      <c r="C164" s="70" t="s">
        <v>521</v>
      </c>
      <c r="D164" s="129" t="s">
        <v>567</v>
      </c>
      <c r="E164" s="102">
        <v>9500</v>
      </c>
      <c r="F164" s="100">
        <v>28</v>
      </c>
      <c r="G164" s="70" t="s">
        <v>819</v>
      </c>
      <c r="H164" s="99">
        <f t="shared" si="1"/>
        <v>266000</v>
      </c>
      <c r="I164" s="1">
        <v>1</v>
      </c>
    </row>
    <row r="165" spans="2:9" ht="21" customHeight="1" x14ac:dyDescent="0.3">
      <c r="B165" s="124">
        <v>4607065715199</v>
      </c>
      <c r="C165" s="70" t="s">
        <v>521</v>
      </c>
      <c r="D165" s="129" t="s">
        <v>568</v>
      </c>
      <c r="E165" s="102">
        <v>9500</v>
      </c>
      <c r="F165" s="100">
        <v>11</v>
      </c>
      <c r="G165" s="70" t="s">
        <v>819</v>
      </c>
      <c r="H165" s="99">
        <f t="shared" si="1"/>
        <v>104500</v>
      </c>
      <c r="I165" s="1">
        <v>1</v>
      </c>
    </row>
    <row r="166" spans="2:9" ht="21" hidden="1" customHeight="1" x14ac:dyDescent="0.3">
      <c r="B166" s="127">
        <v>4607065718565</v>
      </c>
      <c r="C166" s="70" t="s">
        <v>521</v>
      </c>
      <c r="D166" s="129" t="s">
        <v>678</v>
      </c>
      <c r="E166" s="102">
        <v>9500</v>
      </c>
      <c r="F166" s="100"/>
      <c r="G166" s="70" t="s">
        <v>819</v>
      </c>
      <c r="H166" s="99">
        <f t="shared" si="1"/>
        <v>0</v>
      </c>
      <c r="I166" s="1">
        <v>1</v>
      </c>
    </row>
    <row r="167" spans="2:9" ht="21" hidden="1" customHeight="1" x14ac:dyDescent="0.3">
      <c r="B167" s="128">
        <v>4605082002100</v>
      </c>
      <c r="C167" s="14" t="s">
        <v>527</v>
      </c>
      <c r="D167" s="85" t="s">
        <v>528</v>
      </c>
      <c r="E167" s="99">
        <v>7300</v>
      </c>
      <c r="F167" s="99"/>
      <c r="G167" s="70" t="s">
        <v>819</v>
      </c>
      <c r="H167" s="99">
        <f t="shared" ref="H167:H237" si="3">+F167*E167</f>
        <v>0</v>
      </c>
      <c r="I167" s="1">
        <v>1</v>
      </c>
    </row>
    <row r="168" spans="2:9" ht="21" hidden="1" customHeight="1" x14ac:dyDescent="0.3">
      <c r="B168" s="122">
        <v>4605082002087</v>
      </c>
      <c r="C168" s="14" t="s">
        <v>527</v>
      </c>
      <c r="D168" s="85" t="s">
        <v>529</v>
      </c>
      <c r="E168" s="99">
        <v>7300</v>
      </c>
      <c r="F168" s="100"/>
      <c r="G168" s="70" t="s">
        <v>819</v>
      </c>
      <c r="H168" s="99">
        <f t="shared" si="3"/>
        <v>0</v>
      </c>
      <c r="I168" s="1">
        <v>1</v>
      </c>
    </row>
    <row r="169" spans="2:9" ht="21" hidden="1" customHeight="1" x14ac:dyDescent="0.3">
      <c r="B169" s="122">
        <v>4605082002094</v>
      </c>
      <c r="C169" s="14" t="s">
        <v>527</v>
      </c>
      <c r="D169" s="85" t="s">
        <v>530</v>
      </c>
      <c r="E169" s="99">
        <v>7300</v>
      </c>
      <c r="F169" s="100"/>
      <c r="G169" s="70" t="s">
        <v>819</v>
      </c>
      <c r="H169" s="99">
        <f t="shared" si="3"/>
        <v>0</v>
      </c>
      <c r="I169" s="1">
        <v>1</v>
      </c>
    </row>
    <row r="170" spans="2:9" ht="21" hidden="1" customHeight="1" x14ac:dyDescent="0.3">
      <c r="B170" s="122">
        <v>4605082002117</v>
      </c>
      <c r="C170" s="14" t="s">
        <v>527</v>
      </c>
      <c r="D170" s="85" t="s">
        <v>531</v>
      </c>
      <c r="E170" s="99">
        <v>7300</v>
      </c>
      <c r="F170" s="103"/>
      <c r="G170" s="70" t="s">
        <v>819</v>
      </c>
      <c r="H170" s="99">
        <f t="shared" si="3"/>
        <v>0</v>
      </c>
      <c r="I170" s="1">
        <v>1</v>
      </c>
    </row>
    <row r="171" spans="2:9" ht="21" hidden="1" customHeight="1" x14ac:dyDescent="0.3">
      <c r="B171" s="122">
        <v>4605082000397</v>
      </c>
      <c r="C171" s="14" t="s">
        <v>527</v>
      </c>
      <c r="D171" s="85" t="s">
        <v>681</v>
      </c>
      <c r="E171" s="99">
        <v>7600</v>
      </c>
      <c r="F171" s="103"/>
      <c r="G171" s="70" t="s">
        <v>819</v>
      </c>
      <c r="H171" s="99">
        <f t="shared" si="3"/>
        <v>0</v>
      </c>
      <c r="I171" s="1">
        <v>1</v>
      </c>
    </row>
    <row r="172" spans="2:9" ht="21" hidden="1" customHeight="1" x14ac:dyDescent="0.3">
      <c r="B172" s="122">
        <v>4605082000472</v>
      </c>
      <c r="C172" s="14" t="s">
        <v>527</v>
      </c>
      <c r="D172" s="85" t="s">
        <v>682</v>
      </c>
      <c r="E172" s="99">
        <v>7600</v>
      </c>
      <c r="F172" s="103"/>
      <c r="G172" s="70" t="s">
        <v>819</v>
      </c>
      <c r="H172" s="99">
        <f t="shared" si="3"/>
        <v>0</v>
      </c>
      <c r="I172" s="1">
        <v>1</v>
      </c>
    </row>
    <row r="173" spans="2:9" ht="21" hidden="1" customHeight="1" x14ac:dyDescent="0.3">
      <c r="B173" s="122">
        <v>4605082000496</v>
      </c>
      <c r="C173" s="14" t="s">
        <v>527</v>
      </c>
      <c r="D173" s="85" t="s">
        <v>683</v>
      </c>
      <c r="E173" s="99">
        <v>7600</v>
      </c>
      <c r="F173" s="103"/>
      <c r="G173" s="70" t="s">
        <v>819</v>
      </c>
      <c r="H173" s="99">
        <f t="shared" si="3"/>
        <v>0</v>
      </c>
      <c r="I173" s="1">
        <v>1</v>
      </c>
    </row>
    <row r="174" spans="2:9" ht="21" hidden="1" customHeight="1" x14ac:dyDescent="0.3">
      <c r="B174" s="122">
        <v>4605082000502</v>
      </c>
      <c r="C174" s="14" t="s">
        <v>527</v>
      </c>
      <c r="D174" s="85" t="s">
        <v>692</v>
      </c>
      <c r="E174" s="99">
        <v>7600</v>
      </c>
      <c r="F174" s="103"/>
      <c r="G174" s="70" t="s">
        <v>819</v>
      </c>
      <c r="H174" s="99">
        <f t="shared" si="3"/>
        <v>0</v>
      </c>
      <c r="I174" s="1">
        <v>1</v>
      </c>
    </row>
    <row r="175" spans="2:9" ht="21" hidden="1" customHeight="1" x14ac:dyDescent="0.3">
      <c r="B175" s="122">
        <v>4605082000854</v>
      </c>
      <c r="C175" s="14" t="s">
        <v>527</v>
      </c>
      <c r="D175" s="85" t="s">
        <v>575</v>
      </c>
      <c r="E175" s="99">
        <v>13000</v>
      </c>
      <c r="F175" s="103"/>
      <c r="G175" s="70" t="s">
        <v>819</v>
      </c>
      <c r="H175" s="99">
        <f t="shared" si="3"/>
        <v>0</v>
      </c>
      <c r="I175" s="1">
        <v>1</v>
      </c>
    </row>
    <row r="176" spans="2:9" ht="21" hidden="1" customHeight="1" x14ac:dyDescent="0.3">
      <c r="B176" s="122">
        <v>4605082000014</v>
      </c>
      <c r="C176" s="14" t="s">
        <v>527</v>
      </c>
      <c r="D176" s="85" t="s">
        <v>576</v>
      </c>
      <c r="E176" s="99">
        <v>13000</v>
      </c>
      <c r="F176" s="103"/>
      <c r="G176" s="70" t="s">
        <v>819</v>
      </c>
      <c r="H176" s="99">
        <f t="shared" si="3"/>
        <v>0</v>
      </c>
      <c r="I176" s="1">
        <v>1</v>
      </c>
    </row>
    <row r="177" spans="2:9" ht="21" hidden="1" customHeight="1" x14ac:dyDescent="0.3">
      <c r="B177" s="122">
        <v>4605082001745</v>
      </c>
      <c r="C177" s="14" t="s">
        <v>527</v>
      </c>
      <c r="D177" s="85" t="s">
        <v>538</v>
      </c>
      <c r="E177" s="99">
        <v>13000</v>
      </c>
      <c r="F177" s="103"/>
      <c r="G177" s="70" t="s">
        <v>819</v>
      </c>
      <c r="H177" s="99">
        <f t="shared" si="3"/>
        <v>0</v>
      </c>
      <c r="I177" s="1">
        <v>1</v>
      </c>
    </row>
    <row r="178" spans="2:9" ht="21" hidden="1" customHeight="1" x14ac:dyDescent="0.3">
      <c r="B178" s="122">
        <v>4605082000045</v>
      </c>
      <c r="C178" s="14" t="s">
        <v>527</v>
      </c>
      <c r="D178" s="85" t="s">
        <v>537</v>
      </c>
      <c r="E178" s="99">
        <v>13000</v>
      </c>
      <c r="F178" s="103"/>
      <c r="G178" s="70" t="s">
        <v>819</v>
      </c>
      <c r="H178" s="99">
        <f t="shared" si="3"/>
        <v>0</v>
      </c>
      <c r="I178" s="1">
        <v>1</v>
      </c>
    </row>
    <row r="179" spans="2:9" ht="21" hidden="1" customHeight="1" x14ac:dyDescent="0.3">
      <c r="B179" s="122">
        <v>4605082000038</v>
      </c>
      <c r="C179" s="14" t="s">
        <v>527</v>
      </c>
      <c r="D179" s="85" t="s">
        <v>605</v>
      </c>
      <c r="E179" s="99">
        <v>13000</v>
      </c>
      <c r="F179" s="85"/>
      <c r="G179" s="70" t="s">
        <v>819</v>
      </c>
      <c r="H179" s="99">
        <f t="shared" si="3"/>
        <v>0</v>
      </c>
      <c r="I179" s="1">
        <v>1</v>
      </c>
    </row>
    <row r="180" spans="2:9" ht="21" hidden="1" customHeight="1" x14ac:dyDescent="0.3">
      <c r="B180" s="122">
        <v>4605082000090</v>
      </c>
      <c r="C180" s="14" t="s">
        <v>527</v>
      </c>
      <c r="D180" s="85" t="s">
        <v>606</v>
      </c>
      <c r="E180" s="99">
        <v>13000</v>
      </c>
      <c r="F180" s="103"/>
      <c r="G180" s="70" t="s">
        <v>819</v>
      </c>
      <c r="H180" s="99">
        <f t="shared" si="3"/>
        <v>0</v>
      </c>
      <c r="I180" s="1">
        <v>1</v>
      </c>
    </row>
    <row r="181" spans="2:9" ht="21" hidden="1" customHeight="1" x14ac:dyDescent="0.3">
      <c r="B181" s="122">
        <v>4605082000052</v>
      </c>
      <c r="C181" s="14" t="s">
        <v>527</v>
      </c>
      <c r="D181" s="85" t="s">
        <v>607</v>
      </c>
      <c r="E181" s="99">
        <v>13000</v>
      </c>
      <c r="F181" s="85"/>
      <c r="G181" s="70" t="s">
        <v>819</v>
      </c>
      <c r="H181" s="99">
        <f t="shared" si="3"/>
        <v>0</v>
      </c>
      <c r="I181" s="1">
        <v>1</v>
      </c>
    </row>
    <row r="182" spans="2:9" ht="21" hidden="1" customHeight="1" x14ac:dyDescent="0.3">
      <c r="B182" s="122">
        <v>4605082002070</v>
      </c>
      <c r="C182" s="14" t="s">
        <v>527</v>
      </c>
      <c r="D182" s="85" t="s">
        <v>532</v>
      </c>
      <c r="E182" s="99">
        <v>16200</v>
      </c>
      <c r="F182" s="103"/>
      <c r="G182" s="70" t="s">
        <v>819</v>
      </c>
      <c r="H182" s="99">
        <f t="shared" si="3"/>
        <v>0</v>
      </c>
      <c r="I182" s="1">
        <v>1</v>
      </c>
    </row>
    <row r="183" spans="2:9" ht="21" hidden="1" customHeight="1" x14ac:dyDescent="0.3">
      <c r="B183" s="122">
        <v>4605082002063</v>
      </c>
      <c r="C183" s="14" t="s">
        <v>527</v>
      </c>
      <c r="D183" s="85" t="s">
        <v>533</v>
      </c>
      <c r="E183" s="99">
        <v>16200</v>
      </c>
      <c r="F183" s="100"/>
      <c r="G183" s="70" t="s">
        <v>819</v>
      </c>
      <c r="H183" s="99">
        <f t="shared" si="3"/>
        <v>0</v>
      </c>
      <c r="I183" s="1">
        <v>1</v>
      </c>
    </row>
    <row r="184" spans="2:9" ht="21" hidden="1" customHeight="1" x14ac:dyDescent="0.3">
      <c r="B184" s="122">
        <v>4605082002049</v>
      </c>
      <c r="C184" s="14" t="s">
        <v>527</v>
      </c>
      <c r="D184" s="85" t="s">
        <v>590</v>
      </c>
      <c r="E184" s="99">
        <v>16200</v>
      </c>
      <c r="F184" s="102"/>
      <c r="G184" s="70" t="s">
        <v>819</v>
      </c>
      <c r="H184" s="99">
        <f t="shared" si="3"/>
        <v>0</v>
      </c>
      <c r="I184" s="1">
        <v>1</v>
      </c>
    </row>
    <row r="185" spans="2:9" ht="21" hidden="1" customHeight="1" x14ac:dyDescent="0.3">
      <c r="B185" s="122">
        <v>4605082002056</v>
      </c>
      <c r="C185" s="14" t="s">
        <v>527</v>
      </c>
      <c r="D185" s="85" t="s">
        <v>597</v>
      </c>
      <c r="E185" s="99">
        <v>16200</v>
      </c>
      <c r="F185" s="102"/>
      <c r="G185" s="70" t="s">
        <v>819</v>
      </c>
      <c r="H185" s="99">
        <f t="shared" si="3"/>
        <v>0</v>
      </c>
      <c r="I185" s="1">
        <v>1</v>
      </c>
    </row>
    <row r="186" spans="2:9" ht="21" hidden="1" customHeight="1" x14ac:dyDescent="0.3">
      <c r="B186" s="122"/>
      <c r="C186" s="14" t="s">
        <v>527</v>
      </c>
      <c r="D186" s="85" t="s">
        <v>628</v>
      </c>
      <c r="E186" s="99">
        <v>16200</v>
      </c>
      <c r="F186" s="102"/>
      <c r="G186" s="70" t="s">
        <v>819</v>
      </c>
      <c r="H186" s="99">
        <f t="shared" si="3"/>
        <v>0</v>
      </c>
      <c r="I186" s="1">
        <v>1</v>
      </c>
    </row>
    <row r="187" spans="2:9" ht="21" hidden="1" customHeight="1" x14ac:dyDescent="0.3">
      <c r="B187" s="122">
        <v>4605082000809</v>
      </c>
      <c r="C187" s="14" t="s">
        <v>527</v>
      </c>
      <c r="D187" s="102" t="s">
        <v>591</v>
      </c>
      <c r="E187" s="99">
        <v>9400</v>
      </c>
      <c r="F187" s="102"/>
      <c r="G187" s="70" t="s">
        <v>819</v>
      </c>
      <c r="H187" s="99">
        <f t="shared" si="3"/>
        <v>0</v>
      </c>
      <c r="I187" s="1">
        <v>1</v>
      </c>
    </row>
    <row r="188" spans="2:9" ht="21" hidden="1" customHeight="1" x14ac:dyDescent="0.3">
      <c r="B188" s="122">
        <v>4605082000830</v>
      </c>
      <c r="C188" s="14" t="s">
        <v>527</v>
      </c>
      <c r="D188" s="102" t="s">
        <v>534</v>
      </c>
      <c r="E188" s="99">
        <v>9400</v>
      </c>
      <c r="F188" s="104"/>
      <c r="G188" s="70" t="s">
        <v>819</v>
      </c>
      <c r="H188" s="99">
        <f t="shared" si="3"/>
        <v>0</v>
      </c>
      <c r="I188" s="1">
        <v>1</v>
      </c>
    </row>
    <row r="189" spans="2:9" ht="21" hidden="1" customHeight="1" x14ac:dyDescent="0.3">
      <c r="B189" s="122">
        <v>4605082000823</v>
      </c>
      <c r="C189" s="14" t="s">
        <v>527</v>
      </c>
      <c r="D189" s="102" t="s">
        <v>610</v>
      </c>
      <c r="E189" s="99">
        <v>9400</v>
      </c>
      <c r="F189" s="104"/>
      <c r="G189" s="70" t="s">
        <v>819</v>
      </c>
      <c r="H189" s="99">
        <f t="shared" si="3"/>
        <v>0</v>
      </c>
      <c r="I189" s="1">
        <v>1</v>
      </c>
    </row>
    <row r="190" spans="2:9" ht="21" hidden="1" customHeight="1" x14ac:dyDescent="0.3">
      <c r="B190" s="122">
        <v>4605082000786</v>
      </c>
      <c r="C190" s="14" t="s">
        <v>527</v>
      </c>
      <c r="D190" s="85" t="s">
        <v>543</v>
      </c>
      <c r="E190" s="99">
        <v>9400</v>
      </c>
      <c r="F190" s="104"/>
      <c r="G190" s="70" t="s">
        <v>819</v>
      </c>
      <c r="H190" s="99">
        <f t="shared" si="3"/>
        <v>0</v>
      </c>
      <c r="I190" s="1">
        <v>1</v>
      </c>
    </row>
    <row r="191" spans="2:9" ht="21" hidden="1" customHeight="1" x14ac:dyDescent="0.3">
      <c r="B191" s="122">
        <v>4605082000793</v>
      </c>
      <c r="C191" s="14" t="s">
        <v>535</v>
      </c>
      <c r="D191" s="85" t="s">
        <v>544</v>
      </c>
      <c r="E191" s="99">
        <v>9400</v>
      </c>
      <c r="F191" s="104"/>
      <c r="G191" s="70" t="s">
        <v>819</v>
      </c>
      <c r="H191" s="99">
        <f t="shared" si="3"/>
        <v>0</v>
      </c>
      <c r="I191" s="1">
        <v>1</v>
      </c>
    </row>
    <row r="192" spans="2:9" ht="21" hidden="1" customHeight="1" x14ac:dyDescent="0.3">
      <c r="B192" s="122">
        <v>4605082000816</v>
      </c>
      <c r="C192" s="14" t="s">
        <v>527</v>
      </c>
      <c r="D192" s="85" t="s">
        <v>545</v>
      </c>
      <c r="E192" s="99">
        <v>9400</v>
      </c>
      <c r="F192" s="104"/>
      <c r="G192" s="70" t="s">
        <v>819</v>
      </c>
      <c r="H192" s="99">
        <f t="shared" si="3"/>
        <v>0</v>
      </c>
      <c r="I192" s="1">
        <v>1</v>
      </c>
    </row>
    <row r="193" spans="2:9" ht="21" hidden="1" customHeight="1" x14ac:dyDescent="0.3">
      <c r="B193" s="122">
        <v>4605082000779</v>
      </c>
      <c r="C193" s="14" t="s">
        <v>527</v>
      </c>
      <c r="D193" s="85" t="s">
        <v>536</v>
      </c>
      <c r="E193" s="99">
        <v>9400</v>
      </c>
      <c r="F193" s="104"/>
      <c r="G193" s="70" t="s">
        <v>819</v>
      </c>
      <c r="H193" s="99">
        <f t="shared" si="3"/>
        <v>0</v>
      </c>
      <c r="I193" s="1">
        <v>1</v>
      </c>
    </row>
    <row r="194" spans="2:9" ht="21" hidden="1" customHeight="1" x14ac:dyDescent="0.3">
      <c r="B194" s="90"/>
      <c r="C194" s="14"/>
      <c r="D194" s="71"/>
      <c r="E194" s="70"/>
      <c r="F194" s="18"/>
      <c r="G194" s="72" t="s">
        <v>462</v>
      </c>
      <c r="H194" s="70">
        <f t="shared" si="3"/>
        <v>0</v>
      </c>
      <c r="I194" s="1">
        <v>0</v>
      </c>
    </row>
    <row r="195" spans="2:9" ht="21" hidden="1" customHeight="1" x14ac:dyDescent="0.3">
      <c r="B195" s="90"/>
      <c r="C195" s="14"/>
      <c r="D195" s="71"/>
      <c r="E195" s="70"/>
      <c r="F195" s="15"/>
      <c r="G195" s="72" t="s">
        <v>462</v>
      </c>
      <c r="H195" s="70">
        <f t="shared" si="3"/>
        <v>0</v>
      </c>
      <c r="I195" s="1">
        <v>0</v>
      </c>
    </row>
    <row r="196" spans="2:9" ht="21" customHeight="1" x14ac:dyDescent="0.3">
      <c r="B196" s="122">
        <v>4605082002803</v>
      </c>
      <c r="C196" s="14" t="s">
        <v>527</v>
      </c>
      <c r="D196" s="85" t="s">
        <v>577</v>
      </c>
      <c r="E196" s="99">
        <v>11500</v>
      </c>
      <c r="F196" s="100">
        <v>8</v>
      </c>
      <c r="G196" s="70" t="s">
        <v>819</v>
      </c>
      <c r="H196" s="99">
        <f t="shared" si="3"/>
        <v>92000</v>
      </c>
      <c r="I196" s="1">
        <v>1</v>
      </c>
    </row>
    <row r="197" spans="2:9" ht="21" customHeight="1" x14ac:dyDescent="0.3">
      <c r="B197" s="122">
        <v>4605082002865</v>
      </c>
      <c r="C197" s="14" t="s">
        <v>527</v>
      </c>
      <c r="D197" s="85" t="s">
        <v>578</v>
      </c>
      <c r="E197" s="99">
        <v>11500</v>
      </c>
      <c r="F197" s="100">
        <v>16</v>
      </c>
      <c r="G197" s="70" t="s">
        <v>819</v>
      </c>
      <c r="H197" s="99">
        <f t="shared" si="3"/>
        <v>184000</v>
      </c>
      <c r="I197" s="1">
        <v>1</v>
      </c>
    </row>
    <row r="198" spans="2:9" ht="21" customHeight="1" x14ac:dyDescent="0.3">
      <c r="B198" s="122">
        <v>4605082002810</v>
      </c>
      <c r="C198" s="14" t="s">
        <v>527</v>
      </c>
      <c r="D198" s="85" t="s">
        <v>592</v>
      </c>
      <c r="E198" s="99">
        <v>11500</v>
      </c>
      <c r="F198" s="100">
        <v>16</v>
      </c>
      <c r="G198" s="70" t="s">
        <v>819</v>
      </c>
      <c r="H198" s="99">
        <f t="shared" si="3"/>
        <v>184000</v>
      </c>
      <c r="I198" s="1">
        <v>1</v>
      </c>
    </row>
    <row r="199" spans="2:9" ht="21" hidden="1" customHeight="1" x14ac:dyDescent="0.3">
      <c r="B199" s="122">
        <v>4605082002834</v>
      </c>
      <c r="C199" s="14" t="s">
        <v>527</v>
      </c>
      <c r="D199" s="85" t="s">
        <v>579</v>
      </c>
      <c r="E199" s="99">
        <v>11500</v>
      </c>
      <c r="F199" s="102"/>
      <c r="G199" s="70" t="s">
        <v>819</v>
      </c>
      <c r="H199" s="99">
        <f t="shared" si="3"/>
        <v>0</v>
      </c>
      <c r="I199" s="1">
        <v>1</v>
      </c>
    </row>
    <row r="200" spans="2:9" ht="21" hidden="1" customHeight="1" x14ac:dyDescent="0.3">
      <c r="B200" s="122">
        <v>4605082001721</v>
      </c>
      <c r="C200" s="14" t="s">
        <v>527</v>
      </c>
      <c r="D200" s="85" t="s">
        <v>580</v>
      </c>
      <c r="E200" s="99">
        <v>11000</v>
      </c>
      <c r="F200" s="100"/>
      <c r="G200" s="70" t="s">
        <v>819</v>
      </c>
      <c r="H200" s="99">
        <f t="shared" si="3"/>
        <v>0</v>
      </c>
      <c r="I200" s="1">
        <v>1</v>
      </c>
    </row>
    <row r="201" spans="2:9" ht="21" hidden="1" customHeight="1" x14ac:dyDescent="0.3">
      <c r="B201" s="122">
        <v>4605082000526</v>
      </c>
      <c r="C201" s="14" t="s">
        <v>527</v>
      </c>
      <c r="D201" s="85" t="s">
        <v>581</v>
      </c>
      <c r="E201" s="99">
        <v>11000</v>
      </c>
      <c r="F201" s="100"/>
      <c r="G201" s="70" t="s">
        <v>819</v>
      </c>
      <c r="H201" s="99">
        <f t="shared" si="3"/>
        <v>0</v>
      </c>
      <c r="I201" s="1">
        <v>1</v>
      </c>
    </row>
    <row r="202" spans="2:9" ht="21" hidden="1" customHeight="1" x14ac:dyDescent="0.3">
      <c r="B202" s="122">
        <v>4605082000540</v>
      </c>
      <c r="C202" s="14" t="s">
        <v>527</v>
      </c>
      <c r="D202" s="85" t="s">
        <v>582</v>
      </c>
      <c r="E202" s="99">
        <v>11000</v>
      </c>
      <c r="F202" s="100"/>
      <c r="G202" s="70" t="s">
        <v>819</v>
      </c>
      <c r="H202" s="99">
        <f t="shared" si="3"/>
        <v>0</v>
      </c>
      <c r="I202" s="1">
        <v>1</v>
      </c>
    </row>
    <row r="203" spans="2:9" ht="21" hidden="1" customHeight="1" x14ac:dyDescent="0.3">
      <c r="B203" s="122">
        <v>4605082000533</v>
      </c>
      <c r="C203" s="14" t="s">
        <v>527</v>
      </c>
      <c r="D203" s="85" t="s">
        <v>583</v>
      </c>
      <c r="E203" s="99">
        <v>11000</v>
      </c>
      <c r="F203" s="100"/>
      <c r="G203" s="70" t="s">
        <v>819</v>
      </c>
      <c r="H203" s="99">
        <f t="shared" si="3"/>
        <v>0</v>
      </c>
      <c r="I203" s="1">
        <v>1</v>
      </c>
    </row>
    <row r="204" spans="2:9" ht="21" hidden="1" customHeight="1" x14ac:dyDescent="0.3">
      <c r="B204" s="122">
        <v>4605082000557</v>
      </c>
      <c r="C204" s="14" t="s">
        <v>527</v>
      </c>
      <c r="D204" s="85" t="s">
        <v>609</v>
      </c>
      <c r="E204" s="99">
        <v>11000</v>
      </c>
      <c r="F204" s="100"/>
      <c r="G204" s="70" t="s">
        <v>819</v>
      </c>
      <c r="H204" s="99">
        <f t="shared" si="3"/>
        <v>0</v>
      </c>
      <c r="I204" s="1">
        <v>1</v>
      </c>
    </row>
    <row r="205" spans="2:9" ht="21" hidden="1" customHeight="1" x14ac:dyDescent="0.3">
      <c r="B205" s="122">
        <v>4605082000571</v>
      </c>
      <c r="C205" s="14" t="s">
        <v>527</v>
      </c>
      <c r="D205" s="85" t="s">
        <v>660</v>
      </c>
      <c r="E205" s="99">
        <v>11000</v>
      </c>
      <c r="F205" s="100"/>
      <c r="G205" s="70" t="s">
        <v>819</v>
      </c>
      <c r="H205" s="99">
        <f t="shared" si="3"/>
        <v>0</v>
      </c>
      <c r="I205" s="1">
        <v>1</v>
      </c>
    </row>
    <row r="206" spans="2:9" ht="21" hidden="1" customHeight="1" x14ac:dyDescent="0.3">
      <c r="B206" s="122">
        <v>4605082001998</v>
      </c>
      <c r="C206" s="14" t="s">
        <v>527</v>
      </c>
      <c r="D206" s="85" t="s">
        <v>584</v>
      </c>
      <c r="E206" s="99">
        <v>15000</v>
      </c>
      <c r="F206" s="100"/>
      <c r="G206" s="70" t="s">
        <v>819</v>
      </c>
      <c r="H206" s="99">
        <f t="shared" si="3"/>
        <v>0</v>
      </c>
      <c r="I206" s="1">
        <v>1</v>
      </c>
    </row>
    <row r="207" spans="2:9" ht="21" hidden="1" customHeight="1" x14ac:dyDescent="0.3">
      <c r="B207" s="122">
        <v>4605082002025</v>
      </c>
      <c r="C207" s="14" t="s">
        <v>527</v>
      </c>
      <c r="D207" s="85" t="s">
        <v>585</v>
      </c>
      <c r="E207" s="99">
        <v>15000</v>
      </c>
      <c r="F207" s="100"/>
      <c r="G207" s="70" t="s">
        <v>819</v>
      </c>
      <c r="H207" s="99">
        <f t="shared" si="3"/>
        <v>0</v>
      </c>
      <c r="I207" s="1">
        <v>1</v>
      </c>
    </row>
    <row r="208" spans="2:9" ht="21" hidden="1" customHeight="1" x14ac:dyDescent="0.3">
      <c r="B208" s="90">
        <v>4605082000199</v>
      </c>
      <c r="C208" s="14" t="s">
        <v>527</v>
      </c>
      <c r="D208" s="71" t="s">
        <v>586</v>
      </c>
      <c r="E208" s="70"/>
      <c r="F208" s="72"/>
      <c r="G208" s="72" t="s">
        <v>462</v>
      </c>
      <c r="H208" s="70">
        <f t="shared" si="3"/>
        <v>0</v>
      </c>
      <c r="I208" s="1">
        <v>0</v>
      </c>
    </row>
    <row r="209" spans="2:9" ht="21" hidden="1" customHeight="1" x14ac:dyDescent="0.3">
      <c r="B209" s="90">
        <v>4605082000083</v>
      </c>
      <c r="C209" s="14" t="s">
        <v>527</v>
      </c>
      <c r="D209" s="71" t="s">
        <v>587</v>
      </c>
      <c r="E209" s="70"/>
      <c r="F209" s="72"/>
      <c r="G209" s="72" t="s">
        <v>462</v>
      </c>
      <c r="H209" s="70">
        <f t="shared" si="3"/>
        <v>0</v>
      </c>
      <c r="I209" s="1">
        <v>0</v>
      </c>
    </row>
    <row r="210" spans="2:9" ht="21" hidden="1" customHeight="1" x14ac:dyDescent="0.3">
      <c r="B210" s="122">
        <v>4605082003220</v>
      </c>
      <c r="C210" s="14" t="s">
        <v>527</v>
      </c>
      <c r="D210" s="71" t="s">
        <v>654</v>
      </c>
      <c r="E210" s="99">
        <v>2500</v>
      </c>
      <c r="F210" s="100"/>
      <c r="G210" s="70" t="s">
        <v>819</v>
      </c>
      <c r="H210" s="99">
        <f t="shared" si="3"/>
        <v>0</v>
      </c>
      <c r="I210" s="1">
        <v>1</v>
      </c>
    </row>
    <row r="211" spans="2:9" ht="20.25" hidden="1" x14ac:dyDescent="0.3">
      <c r="B211" s="122">
        <v>4680320002685</v>
      </c>
      <c r="C211" s="14" t="s">
        <v>527</v>
      </c>
      <c r="D211" s="71" t="s">
        <v>661</v>
      </c>
      <c r="E211" s="99">
        <v>1300</v>
      </c>
      <c r="F211" s="100"/>
      <c r="G211" s="70" t="s">
        <v>819</v>
      </c>
      <c r="H211" s="99">
        <f t="shared" si="3"/>
        <v>0</v>
      </c>
      <c r="I211" s="1">
        <v>1</v>
      </c>
    </row>
    <row r="212" spans="2:9" ht="20.25" hidden="1" x14ac:dyDescent="0.3">
      <c r="B212" s="122">
        <v>4605082001981</v>
      </c>
      <c r="C212" s="14" t="s">
        <v>527</v>
      </c>
      <c r="D212" s="71" t="s">
        <v>666</v>
      </c>
      <c r="E212" s="99">
        <v>1300</v>
      </c>
      <c r="F212" s="100"/>
      <c r="G212" s="70" t="s">
        <v>819</v>
      </c>
      <c r="H212" s="99">
        <f t="shared" si="3"/>
        <v>0</v>
      </c>
      <c r="I212" s="1">
        <v>1</v>
      </c>
    </row>
    <row r="213" spans="2:9" ht="20.25" hidden="1" x14ac:dyDescent="0.3">
      <c r="B213" s="122">
        <v>4605082002018</v>
      </c>
      <c r="C213" s="14" t="s">
        <v>527</v>
      </c>
      <c r="D213" s="71" t="s">
        <v>667</v>
      </c>
      <c r="E213" s="99">
        <v>1300</v>
      </c>
      <c r="F213" s="100"/>
      <c r="G213" s="70" t="s">
        <v>819</v>
      </c>
      <c r="H213" s="99">
        <f t="shared" si="3"/>
        <v>0</v>
      </c>
      <c r="I213" s="1">
        <v>1</v>
      </c>
    </row>
    <row r="214" spans="2:9" ht="20.25" hidden="1" x14ac:dyDescent="0.3">
      <c r="B214" s="122">
        <v>4605082002797</v>
      </c>
      <c r="C214" s="14" t="s">
        <v>527</v>
      </c>
      <c r="D214" s="71" t="s">
        <v>674</v>
      </c>
      <c r="E214" s="99">
        <v>20000</v>
      </c>
      <c r="F214" s="100"/>
      <c r="G214" s="70" t="s">
        <v>819</v>
      </c>
      <c r="H214" s="99">
        <f t="shared" si="3"/>
        <v>0</v>
      </c>
      <c r="I214" s="1">
        <v>1</v>
      </c>
    </row>
    <row r="215" spans="2:9" ht="21" hidden="1" customHeight="1" x14ac:dyDescent="0.3">
      <c r="B215" s="122">
        <v>4605082002759</v>
      </c>
      <c r="C215" s="14" t="s">
        <v>527</v>
      </c>
      <c r="D215" s="71" t="s">
        <v>588</v>
      </c>
      <c r="E215" s="99">
        <v>20000</v>
      </c>
      <c r="F215" s="100"/>
      <c r="G215" s="70" t="s">
        <v>819</v>
      </c>
      <c r="H215" s="99">
        <f t="shared" si="3"/>
        <v>0</v>
      </c>
      <c r="I215" s="1">
        <v>1</v>
      </c>
    </row>
    <row r="216" spans="2:9" ht="21" hidden="1" customHeight="1" x14ac:dyDescent="0.3">
      <c r="B216" s="122">
        <v>4605082002773</v>
      </c>
      <c r="C216" s="14" t="s">
        <v>527</v>
      </c>
      <c r="D216" s="71" t="s">
        <v>589</v>
      </c>
      <c r="E216" s="99">
        <v>17000</v>
      </c>
      <c r="F216" s="100"/>
      <c r="G216" s="70" t="s">
        <v>819</v>
      </c>
      <c r="H216" s="99">
        <f t="shared" si="3"/>
        <v>0</v>
      </c>
      <c r="I216" s="1">
        <v>1</v>
      </c>
    </row>
    <row r="217" spans="2:9" ht="21" customHeight="1" x14ac:dyDescent="0.3">
      <c r="B217" s="122">
        <v>4605082002742</v>
      </c>
      <c r="C217" s="14" t="s">
        <v>527</v>
      </c>
      <c r="D217" s="71" t="s">
        <v>596</v>
      </c>
      <c r="E217" s="99">
        <v>1600</v>
      </c>
      <c r="F217" s="100">
        <v>96</v>
      </c>
      <c r="G217" s="70" t="s">
        <v>819</v>
      </c>
      <c r="H217" s="99">
        <f t="shared" si="3"/>
        <v>153600</v>
      </c>
      <c r="I217" s="1">
        <v>1</v>
      </c>
    </row>
    <row r="218" spans="2:9" ht="21" hidden="1" customHeight="1" x14ac:dyDescent="0.3">
      <c r="B218" s="122">
        <v>4605082002766</v>
      </c>
      <c r="C218" s="14" t="s">
        <v>527</v>
      </c>
      <c r="D218" s="71" t="s">
        <v>598</v>
      </c>
      <c r="E218" s="99">
        <v>1600</v>
      </c>
      <c r="F218" s="100"/>
      <c r="G218" s="70" t="s">
        <v>819</v>
      </c>
      <c r="H218" s="99">
        <f t="shared" si="3"/>
        <v>0</v>
      </c>
      <c r="I218" s="1">
        <v>1</v>
      </c>
    </row>
    <row r="219" spans="2:9" ht="21" hidden="1" customHeight="1" x14ac:dyDescent="0.3">
      <c r="B219" s="122">
        <v>4605082002780</v>
      </c>
      <c r="C219" s="14" t="s">
        <v>527</v>
      </c>
      <c r="D219" s="71" t="s">
        <v>599</v>
      </c>
      <c r="E219" s="99">
        <v>1600</v>
      </c>
      <c r="F219" s="100"/>
      <c r="G219" s="70" t="s">
        <v>819</v>
      </c>
      <c r="H219" s="99">
        <f t="shared" si="3"/>
        <v>0</v>
      </c>
      <c r="I219" s="1">
        <v>1</v>
      </c>
    </row>
    <row r="220" spans="2:9" ht="21" customHeight="1" x14ac:dyDescent="0.3">
      <c r="B220" s="122">
        <v>4660039130671</v>
      </c>
      <c r="C220" s="14" t="s">
        <v>527</v>
      </c>
      <c r="D220" s="85" t="s">
        <v>594</v>
      </c>
      <c r="E220" s="99">
        <v>2100</v>
      </c>
      <c r="F220" s="100">
        <v>216</v>
      </c>
      <c r="G220" s="70" t="s">
        <v>819</v>
      </c>
      <c r="H220" s="99">
        <f t="shared" si="3"/>
        <v>453600</v>
      </c>
      <c r="I220" s="1">
        <v>1</v>
      </c>
    </row>
    <row r="221" spans="2:9" ht="21" customHeight="1" x14ac:dyDescent="0.3">
      <c r="B221" s="122">
        <v>4660039130657</v>
      </c>
      <c r="C221" s="14" t="s">
        <v>527</v>
      </c>
      <c r="D221" s="85" t="s">
        <v>595</v>
      </c>
      <c r="E221" s="99">
        <v>2100</v>
      </c>
      <c r="F221" s="100">
        <v>216</v>
      </c>
      <c r="G221" s="70" t="s">
        <v>819</v>
      </c>
      <c r="H221" s="99">
        <f t="shared" si="3"/>
        <v>453600</v>
      </c>
      <c r="I221" s="1">
        <v>1</v>
      </c>
    </row>
    <row r="222" spans="2:9" ht="21" hidden="1" customHeight="1" x14ac:dyDescent="0.3">
      <c r="B222" s="122">
        <v>4660039130664</v>
      </c>
      <c r="C222" s="14" t="s">
        <v>527</v>
      </c>
      <c r="D222" s="85" t="s">
        <v>652</v>
      </c>
      <c r="E222" s="99">
        <v>21000</v>
      </c>
      <c r="F222" s="100"/>
      <c r="G222" s="70" t="s">
        <v>819</v>
      </c>
      <c r="H222" s="99">
        <f t="shared" si="3"/>
        <v>0</v>
      </c>
      <c r="I222" s="1">
        <v>1</v>
      </c>
    </row>
    <row r="223" spans="2:9" ht="21" hidden="1" customHeight="1" x14ac:dyDescent="0.3">
      <c r="B223" s="122">
        <v>4660039130688</v>
      </c>
      <c r="C223" s="14" t="s">
        <v>527</v>
      </c>
      <c r="D223" s="85" t="s">
        <v>653</v>
      </c>
      <c r="E223" s="99">
        <v>21000</v>
      </c>
      <c r="F223" s="100"/>
      <c r="G223" s="70" t="s">
        <v>819</v>
      </c>
      <c r="H223" s="99">
        <f t="shared" si="3"/>
        <v>0</v>
      </c>
      <c r="I223" s="1">
        <v>1</v>
      </c>
    </row>
    <row r="224" spans="2:9" ht="21" hidden="1" customHeight="1" x14ac:dyDescent="0.3">
      <c r="B224" s="90">
        <v>4605082000250</v>
      </c>
      <c r="C224" s="14" t="s">
        <v>527</v>
      </c>
      <c r="D224" s="71" t="s">
        <v>600</v>
      </c>
      <c r="E224" s="70">
        <v>11500</v>
      </c>
      <c r="F224" s="73"/>
      <c r="G224" s="72" t="s">
        <v>462</v>
      </c>
      <c r="H224" s="70">
        <f t="shared" si="3"/>
        <v>0</v>
      </c>
      <c r="I224" s="1">
        <v>0</v>
      </c>
    </row>
    <row r="225" spans="2:9" ht="21" hidden="1" customHeight="1" x14ac:dyDescent="0.3">
      <c r="B225" s="90">
        <v>4605082000236</v>
      </c>
      <c r="C225" s="14" t="s">
        <v>527</v>
      </c>
      <c r="D225" s="71" t="s">
        <v>601</v>
      </c>
      <c r="E225" s="70">
        <v>11500</v>
      </c>
      <c r="F225" s="73"/>
      <c r="G225" s="72" t="s">
        <v>462</v>
      </c>
      <c r="H225" s="70">
        <f t="shared" si="3"/>
        <v>0</v>
      </c>
      <c r="I225" s="1">
        <v>0</v>
      </c>
    </row>
    <row r="226" spans="2:9" ht="21" hidden="1" customHeight="1" x14ac:dyDescent="0.3">
      <c r="B226" s="90">
        <v>4607065717438</v>
      </c>
      <c r="C226" s="14" t="s">
        <v>527</v>
      </c>
      <c r="D226" s="71" t="s">
        <v>671</v>
      </c>
      <c r="E226" s="99">
        <v>24000</v>
      </c>
      <c r="F226" s="73"/>
      <c r="G226" s="18" t="s">
        <v>819</v>
      </c>
      <c r="H226" s="70">
        <f t="shared" si="3"/>
        <v>0</v>
      </c>
      <c r="I226" s="1">
        <v>0</v>
      </c>
    </row>
    <row r="227" spans="2:9" ht="21" hidden="1" customHeight="1" x14ac:dyDescent="0.3">
      <c r="B227" s="94">
        <v>4607065717360</v>
      </c>
      <c r="C227" s="87" t="s">
        <v>527</v>
      </c>
      <c r="D227" s="111" t="s">
        <v>669</v>
      </c>
      <c r="E227" s="104">
        <v>24000</v>
      </c>
      <c r="F227" s="73"/>
      <c r="G227" s="18" t="s">
        <v>819</v>
      </c>
      <c r="H227" s="70">
        <f t="shared" si="3"/>
        <v>0</v>
      </c>
      <c r="I227" s="1">
        <v>0</v>
      </c>
    </row>
    <row r="228" spans="2:9" ht="21" hidden="1" customHeight="1" x14ac:dyDescent="0.3">
      <c r="B228" s="94">
        <v>4607065716066</v>
      </c>
      <c r="C228" s="14" t="s">
        <v>527</v>
      </c>
      <c r="D228" s="91" t="s">
        <v>571</v>
      </c>
      <c r="E228" s="99">
        <v>18500</v>
      </c>
      <c r="F228" s="72"/>
      <c r="G228" s="18" t="s">
        <v>819</v>
      </c>
      <c r="H228" s="70">
        <f t="shared" si="3"/>
        <v>0</v>
      </c>
      <c r="I228" s="1">
        <v>0</v>
      </c>
    </row>
    <row r="229" spans="2:9" ht="21" hidden="1" customHeight="1" x14ac:dyDescent="0.3">
      <c r="B229" s="94">
        <v>4607065715045</v>
      </c>
      <c r="C229" s="14" t="s">
        <v>527</v>
      </c>
      <c r="D229" s="91" t="s">
        <v>570</v>
      </c>
      <c r="E229" s="99">
        <v>18500</v>
      </c>
      <c r="F229" s="72"/>
      <c r="G229" s="18" t="s">
        <v>819</v>
      </c>
      <c r="H229" s="70">
        <f t="shared" si="3"/>
        <v>0</v>
      </c>
      <c r="I229" s="1">
        <v>0</v>
      </c>
    </row>
    <row r="230" spans="2:9" ht="21" hidden="1" customHeight="1" x14ac:dyDescent="0.3">
      <c r="B230" s="92">
        <v>4607065715038</v>
      </c>
      <c r="C230" s="14" t="s">
        <v>527</v>
      </c>
      <c r="D230" s="91" t="s">
        <v>602</v>
      </c>
      <c r="E230" s="99">
        <v>24000</v>
      </c>
      <c r="F230" s="72"/>
      <c r="G230" s="18" t="s">
        <v>819</v>
      </c>
      <c r="H230" s="70">
        <f t="shared" ref="H230" si="4">+F230*E230</f>
        <v>0</v>
      </c>
      <c r="I230" s="1">
        <v>0</v>
      </c>
    </row>
    <row r="231" spans="2:9" ht="21" hidden="1" customHeight="1" x14ac:dyDescent="0.3">
      <c r="B231" s="90">
        <v>4607065717094</v>
      </c>
      <c r="C231" s="14" t="s">
        <v>527</v>
      </c>
      <c r="D231" s="44" t="s">
        <v>668</v>
      </c>
      <c r="E231" s="99">
        <v>24000</v>
      </c>
      <c r="F231" s="73"/>
      <c r="G231" s="18" t="s">
        <v>819</v>
      </c>
      <c r="H231" s="70">
        <f t="shared" si="3"/>
        <v>0</v>
      </c>
      <c r="I231" s="1">
        <v>0</v>
      </c>
    </row>
    <row r="232" spans="2:9" ht="21" hidden="1" customHeight="1" x14ac:dyDescent="0.3">
      <c r="B232" s="90">
        <v>4607065715502</v>
      </c>
      <c r="C232" s="14" t="s">
        <v>527</v>
      </c>
      <c r="D232" s="44" t="s">
        <v>551</v>
      </c>
      <c r="E232" s="99">
        <v>31500</v>
      </c>
      <c r="F232" s="97"/>
      <c r="G232" s="18" t="s">
        <v>819</v>
      </c>
      <c r="H232" s="70">
        <f t="shared" si="3"/>
        <v>0</v>
      </c>
      <c r="I232" s="1">
        <v>0</v>
      </c>
    </row>
    <row r="233" spans="2:9" ht="21" hidden="1" customHeight="1" x14ac:dyDescent="0.3">
      <c r="B233" s="89">
        <v>4607065715779</v>
      </c>
      <c r="C233" s="87" t="s">
        <v>527</v>
      </c>
      <c r="D233" s="112" t="s">
        <v>552</v>
      </c>
      <c r="E233" s="104">
        <v>31500</v>
      </c>
      <c r="F233" s="97"/>
      <c r="G233" s="18" t="s">
        <v>819</v>
      </c>
      <c r="H233" s="70">
        <f t="shared" si="3"/>
        <v>0</v>
      </c>
      <c r="I233" s="1">
        <v>0</v>
      </c>
    </row>
    <row r="234" spans="2:9" ht="21" hidden="1" customHeight="1" x14ac:dyDescent="0.3">
      <c r="B234" s="93">
        <v>4607065710026</v>
      </c>
      <c r="C234" s="14" t="s">
        <v>527</v>
      </c>
      <c r="D234" s="91" t="s">
        <v>553</v>
      </c>
      <c r="E234" s="99">
        <v>31500</v>
      </c>
      <c r="F234" s="74"/>
      <c r="G234" s="18" t="s">
        <v>819</v>
      </c>
      <c r="H234" s="70">
        <f t="shared" si="3"/>
        <v>0</v>
      </c>
      <c r="I234" s="1">
        <v>0</v>
      </c>
    </row>
    <row r="235" spans="2:9" ht="21" hidden="1" customHeight="1" x14ac:dyDescent="0.3">
      <c r="B235" s="89">
        <v>4607065710057</v>
      </c>
      <c r="C235" s="14" t="s">
        <v>527</v>
      </c>
      <c r="D235" s="44" t="s">
        <v>554</v>
      </c>
      <c r="E235" s="99">
        <v>31500</v>
      </c>
      <c r="F235" s="72"/>
      <c r="G235" s="18" t="s">
        <v>819</v>
      </c>
      <c r="H235" s="70">
        <f t="shared" si="3"/>
        <v>0</v>
      </c>
      <c r="I235" s="1">
        <v>0</v>
      </c>
    </row>
    <row r="236" spans="2:9" ht="21" hidden="1" customHeight="1" x14ac:dyDescent="0.3">
      <c r="B236" s="93">
        <v>4607065712051</v>
      </c>
      <c r="C236" s="14" t="s">
        <v>527</v>
      </c>
      <c r="D236" s="91" t="s">
        <v>555</v>
      </c>
      <c r="E236" s="99">
        <v>15000</v>
      </c>
      <c r="F236" s="72"/>
      <c r="G236" s="18" t="s">
        <v>819</v>
      </c>
      <c r="H236" s="70">
        <f t="shared" si="3"/>
        <v>0</v>
      </c>
      <c r="I236" s="1">
        <v>0</v>
      </c>
    </row>
    <row r="237" spans="2:9" ht="21" hidden="1" customHeight="1" x14ac:dyDescent="0.3">
      <c r="B237" s="92">
        <v>4607065716387</v>
      </c>
      <c r="C237" s="14" t="s">
        <v>527</v>
      </c>
      <c r="D237" s="91" t="s">
        <v>556</v>
      </c>
      <c r="E237" s="99">
        <v>18500</v>
      </c>
      <c r="F237" s="72"/>
      <c r="G237" s="18" t="s">
        <v>819</v>
      </c>
      <c r="H237" s="70">
        <f t="shared" si="3"/>
        <v>0</v>
      </c>
      <c r="I237" s="1">
        <v>0</v>
      </c>
    </row>
    <row r="238" spans="2:9" hidden="1" x14ac:dyDescent="0.25">
      <c r="B238" s="14"/>
      <c r="C238" s="86"/>
      <c r="D238" s="9" t="s">
        <v>17</v>
      </c>
      <c r="E238" s="18">
        <v>10400</v>
      </c>
      <c r="F238" s="15"/>
      <c r="G238" s="15"/>
      <c r="H238" s="15">
        <f t="shared" ref="H238:H277" si="5">+F238*E238</f>
        <v>0</v>
      </c>
      <c r="I238" s="1">
        <v>0</v>
      </c>
    </row>
    <row r="239" spans="2:9" hidden="1" x14ac:dyDescent="0.25">
      <c r="B239" s="14"/>
      <c r="C239" s="86"/>
      <c r="D239" s="9" t="s">
        <v>18</v>
      </c>
      <c r="E239" s="18">
        <v>10400</v>
      </c>
      <c r="F239" s="15"/>
      <c r="G239" s="15"/>
      <c r="H239" s="15">
        <f t="shared" si="5"/>
        <v>0</v>
      </c>
      <c r="I239" s="1">
        <v>0</v>
      </c>
    </row>
    <row r="240" spans="2:9" ht="18.75" hidden="1" x14ac:dyDescent="0.3">
      <c r="B240" s="14"/>
      <c r="C240" s="53" t="s">
        <v>439</v>
      </c>
      <c r="D240" s="71"/>
      <c r="E240" s="18">
        <v>10400</v>
      </c>
      <c r="F240" s="15"/>
      <c r="G240" s="15"/>
      <c r="H240" s="15">
        <f t="shared" si="5"/>
        <v>0</v>
      </c>
      <c r="I240" s="1">
        <v>0</v>
      </c>
    </row>
    <row r="241" spans="2:9" ht="20.25" hidden="1" x14ac:dyDescent="0.3">
      <c r="B241" s="69">
        <v>4640005700459</v>
      </c>
      <c r="C241" s="113" t="s">
        <v>691</v>
      </c>
      <c r="D241" s="102" t="s">
        <v>684</v>
      </c>
      <c r="E241" s="99">
        <v>10000</v>
      </c>
      <c r="F241" s="100"/>
      <c r="G241" s="70" t="s">
        <v>819</v>
      </c>
      <c r="H241" s="102">
        <f t="shared" si="5"/>
        <v>0</v>
      </c>
      <c r="I241" s="1">
        <v>1</v>
      </c>
    </row>
    <row r="242" spans="2:9" ht="20.25" hidden="1" x14ac:dyDescent="0.3">
      <c r="B242" s="69">
        <v>4640005700442</v>
      </c>
      <c r="C242" s="113" t="s">
        <v>691</v>
      </c>
      <c r="D242" s="85" t="s">
        <v>685</v>
      </c>
      <c r="E242" s="99">
        <v>10000</v>
      </c>
      <c r="F242" s="103"/>
      <c r="G242" s="70" t="s">
        <v>819</v>
      </c>
      <c r="H242" s="99">
        <f t="shared" si="5"/>
        <v>0</v>
      </c>
      <c r="I242" s="1">
        <v>1</v>
      </c>
    </row>
    <row r="243" spans="2:9" ht="20.25" hidden="1" x14ac:dyDescent="0.3">
      <c r="B243" s="69">
        <v>4640005701463</v>
      </c>
      <c r="C243" s="113" t="s">
        <v>691</v>
      </c>
      <c r="D243" s="71" t="s">
        <v>686</v>
      </c>
      <c r="E243" s="99">
        <v>31500</v>
      </c>
      <c r="F243" s="103"/>
      <c r="G243" s="70" t="s">
        <v>819</v>
      </c>
      <c r="H243" s="102">
        <f t="shared" si="5"/>
        <v>0</v>
      </c>
      <c r="I243" s="1">
        <v>1</v>
      </c>
    </row>
    <row r="244" spans="2:9" ht="20.25" hidden="1" x14ac:dyDescent="0.3">
      <c r="B244" s="69">
        <v>4640005701470</v>
      </c>
      <c r="C244" s="113" t="s">
        <v>691</v>
      </c>
      <c r="D244" s="71" t="s">
        <v>687</v>
      </c>
      <c r="E244" s="99">
        <v>31500</v>
      </c>
      <c r="F244" s="103"/>
      <c r="G244" s="70" t="s">
        <v>819</v>
      </c>
      <c r="H244" s="99">
        <f t="shared" si="5"/>
        <v>0</v>
      </c>
      <c r="I244" s="1">
        <v>1</v>
      </c>
    </row>
    <row r="245" spans="2:9" ht="20.25" hidden="1" x14ac:dyDescent="0.3">
      <c r="B245" s="69">
        <v>4640005700213</v>
      </c>
      <c r="C245" s="113" t="s">
        <v>691</v>
      </c>
      <c r="D245" s="71" t="s">
        <v>688</v>
      </c>
      <c r="E245" s="99">
        <v>41000</v>
      </c>
      <c r="F245" s="100"/>
      <c r="G245" s="70" t="s">
        <v>819</v>
      </c>
      <c r="H245" s="99">
        <f t="shared" si="5"/>
        <v>0</v>
      </c>
      <c r="I245" s="1">
        <v>1</v>
      </c>
    </row>
    <row r="246" spans="2:9" ht="20.25" hidden="1" x14ac:dyDescent="0.3">
      <c r="B246" s="69">
        <v>4640005700237</v>
      </c>
      <c r="C246" s="113" t="s">
        <v>691</v>
      </c>
      <c r="D246" s="72" t="s">
        <v>689</v>
      </c>
      <c r="E246" s="99">
        <v>41000</v>
      </c>
      <c r="F246" s="100"/>
      <c r="G246" s="70" t="s">
        <v>819</v>
      </c>
      <c r="H246" s="102">
        <f t="shared" si="5"/>
        <v>0</v>
      </c>
      <c r="I246" s="1">
        <v>1</v>
      </c>
    </row>
    <row r="247" spans="2:9" ht="20.25" hidden="1" x14ac:dyDescent="0.3">
      <c r="B247" s="69">
        <v>4640005700244</v>
      </c>
      <c r="C247" s="113" t="s">
        <v>691</v>
      </c>
      <c r="D247" s="71" t="s">
        <v>690</v>
      </c>
      <c r="E247" s="99">
        <v>41000</v>
      </c>
      <c r="F247" s="100"/>
      <c r="G247" s="70" t="s">
        <v>819</v>
      </c>
      <c r="H247" s="99">
        <f t="shared" si="5"/>
        <v>0</v>
      </c>
      <c r="I247" s="1">
        <v>1</v>
      </c>
    </row>
    <row r="248" spans="2:9" ht="20.25" hidden="1" x14ac:dyDescent="0.3">
      <c r="B248" s="69">
        <v>4640005700190</v>
      </c>
      <c r="C248" s="113" t="s">
        <v>691</v>
      </c>
      <c r="D248" s="71" t="s">
        <v>818</v>
      </c>
      <c r="E248" s="99">
        <v>41000</v>
      </c>
      <c r="F248" s="100"/>
      <c r="G248" s="70" t="s">
        <v>819</v>
      </c>
      <c r="H248" s="99">
        <f t="shared" si="5"/>
        <v>0</v>
      </c>
      <c r="I248" s="1">
        <v>1</v>
      </c>
    </row>
    <row r="249" spans="2:9" ht="20.25" hidden="1" x14ac:dyDescent="0.3">
      <c r="B249" s="69">
        <v>4605082003558</v>
      </c>
      <c r="C249" s="113" t="s">
        <v>691</v>
      </c>
      <c r="D249" s="71" t="s">
        <v>870</v>
      </c>
      <c r="E249" s="99">
        <v>11200</v>
      </c>
      <c r="F249" s="100"/>
      <c r="G249" s="70" t="s">
        <v>819</v>
      </c>
      <c r="H249" s="99">
        <f t="shared" si="5"/>
        <v>0</v>
      </c>
      <c r="I249" s="1">
        <v>1</v>
      </c>
    </row>
    <row r="250" spans="2:9" hidden="1" x14ac:dyDescent="0.25">
      <c r="B250" s="14"/>
      <c r="C250" s="14" t="s">
        <v>719</v>
      </c>
      <c r="D250" s="44" t="s">
        <v>704</v>
      </c>
      <c r="E250" s="10"/>
      <c r="F250" s="19"/>
      <c r="G250" s="19"/>
      <c r="H250" s="12">
        <f t="shared" si="5"/>
        <v>0</v>
      </c>
      <c r="I250" s="1">
        <v>0</v>
      </c>
    </row>
    <row r="251" spans="2:9" ht="20.25" hidden="1" x14ac:dyDescent="0.3">
      <c r="B251" s="69">
        <v>4607073975035</v>
      </c>
      <c r="C251" s="70" t="s">
        <v>719</v>
      </c>
      <c r="D251" s="71" t="s">
        <v>705</v>
      </c>
      <c r="E251" s="99">
        <v>10500</v>
      </c>
      <c r="F251" s="19"/>
      <c r="G251" s="18" t="s">
        <v>819</v>
      </c>
      <c r="H251" s="12">
        <f t="shared" si="5"/>
        <v>0</v>
      </c>
      <c r="I251" s="1">
        <v>0</v>
      </c>
    </row>
    <row r="252" spans="2:9" ht="20.25" hidden="1" x14ac:dyDescent="0.3">
      <c r="B252" s="69">
        <v>4607073975783</v>
      </c>
      <c r="C252" s="70" t="s">
        <v>719</v>
      </c>
      <c r="D252" s="71" t="s">
        <v>706</v>
      </c>
      <c r="E252" s="99">
        <v>10500</v>
      </c>
      <c r="F252" s="19"/>
      <c r="G252" s="18" t="s">
        <v>819</v>
      </c>
      <c r="H252" s="12">
        <f t="shared" si="5"/>
        <v>0</v>
      </c>
      <c r="I252" s="1">
        <v>0</v>
      </c>
    </row>
    <row r="253" spans="2:9" ht="20.25" hidden="1" x14ac:dyDescent="0.3">
      <c r="B253" s="69">
        <v>4607073978449</v>
      </c>
      <c r="C253" s="70" t="s">
        <v>719</v>
      </c>
      <c r="D253" s="71" t="s">
        <v>707</v>
      </c>
      <c r="E253" s="99">
        <v>10500</v>
      </c>
      <c r="F253" s="19"/>
      <c r="G253" s="18" t="s">
        <v>819</v>
      </c>
      <c r="H253" s="12">
        <f t="shared" si="5"/>
        <v>0</v>
      </c>
      <c r="I253" s="1">
        <v>0</v>
      </c>
    </row>
    <row r="254" spans="2:9" hidden="1" x14ac:dyDescent="0.25">
      <c r="B254" s="14"/>
      <c r="C254" s="14" t="s">
        <v>719</v>
      </c>
      <c r="D254" s="44" t="s">
        <v>708</v>
      </c>
      <c r="E254" s="10"/>
      <c r="F254" s="19"/>
      <c r="G254" s="19"/>
      <c r="H254" s="12">
        <f t="shared" si="5"/>
        <v>0</v>
      </c>
      <c r="I254" s="1">
        <v>0</v>
      </c>
    </row>
    <row r="255" spans="2:9" hidden="1" x14ac:dyDescent="0.25">
      <c r="B255" s="14"/>
      <c r="C255" s="14" t="s">
        <v>719</v>
      </c>
      <c r="D255" s="44" t="s">
        <v>709</v>
      </c>
      <c r="E255" s="10"/>
      <c r="F255" s="19"/>
      <c r="G255" s="19"/>
      <c r="H255" s="12">
        <f t="shared" si="5"/>
        <v>0</v>
      </c>
      <c r="I255" s="1">
        <v>0</v>
      </c>
    </row>
    <row r="256" spans="2:9" ht="20.25" hidden="1" x14ac:dyDescent="0.3">
      <c r="B256" s="69">
        <v>4607073977725</v>
      </c>
      <c r="C256" s="70" t="s">
        <v>719</v>
      </c>
      <c r="D256" s="71" t="s">
        <v>710</v>
      </c>
      <c r="E256" s="99">
        <v>12500</v>
      </c>
      <c r="F256" s="19"/>
      <c r="G256" s="18" t="s">
        <v>819</v>
      </c>
      <c r="H256" s="12">
        <f t="shared" si="5"/>
        <v>0</v>
      </c>
      <c r="I256" s="1">
        <v>0</v>
      </c>
    </row>
    <row r="257" spans="2:9" ht="20.25" hidden="1" x14ac:dyDescent="0.3">
      <c r="B257" s="69">
        <v>4607073977749</v>
      </c>
      <c r="C257" s="70" t="s">
        <v>719</v>
      </c>
      <c r="D257" s="71" t="s">
        <v>711</v>
      </c>
      <c r="E257" s="99">
        <v>12500</v>
      </c>
      <c r="F257" s="19"/>
      <c r="G257" s="18" t="s">
        <v>819</v>
      </c>
      <c r="H257" s="12">
        <f t="shared" si="5"/>
        <v>0</v>
      </c>
      <c r="I257" s="1">
        <v>0</v>
      </c>
    </row>
    <row r="258" spans="2:9" ht="20.25" hidden="1" x14ac:dyDescent="0.3">
      <c r="B258" s="69">
        <v>4607073977763</v>
      </c>
      <c r="C258" s="70" t="s">
        <v>719</v>
      </c>
      <c r="D258" s="72" t="s">
        <v>712</v>
      </c>
      <c r="E258" s="99">
        <v>12500</v>
      </c>
      <c r="F258" s="18"/>
      <c r="G258" s="18" t="s">
        <v>819</v>
      </c>
      <c r="H258" s="15">
        <f t="shared" si="5"/>
        <v>0</v>
      </c>
      <c r="I258" s="1">
        <v>0</v>
      </c>
    </row>
    <row r="259" spans="2:9" hidden="1" x14ac:dyDescent="0.25">
      <c r="B259" s="14"/>
      <c r="C259" s="14" t="s">
        <v>719</v>
      </c>
      <c r="D259" s="44" t="s">
        <v>713</v>
      </c>
      <c r="E259" s="18"/>
      <c r="F259" s="44"/>
      <c r="G259" s="44"/>
      <c r="H259" s="45">
        <f t="shared" si="5"/>
        <v>0</v>
      </c>
      <c r="I259" s="1">
        <v>0</v>
      </c>
    </row>
    <row r="260" spans="2:9" hidden="1" x14ac:dyDescent="0.25">
      <c r="B260" s="14"/>
      <c r="C260" s="14" t="s">
        <v>719</v>
      </c>
      <c r="D260" s="44" t="s">
        <v>714</v>
      </c>
      <c r="E260" s="10"/>
      <c r="F260" s="19"/>
      <c r="G260" s="19"/>
      <c r="H260" s="12">
        <f t="shared" si="5"/>
        <v>0</v>
      </c>
      <c r="I260" s="1">
        <v>0</v>
      </c>
    </row>
    <row r="261" spans="2:9" hidden="1" x14ac:dyDescent="0.25">
      <c r="B261" s="14"/>
      <c r="C261" s="14" t="s">
        <v>719</v>
      </c>
      <c r="D261" s="44" t="s">
        <v>715</v>
      </c>
      <c r="E261" s="10"/>
      <c r="F261" s="19"/>
      <c r="G261" s="19"/>
      <c r="H261" s="12">
        <f t="shared" si="5"/>
        <v>0</v>
      </c>
      <c r="I261" s="1">
        <v>0</v>
      </c>
    </row>
    <row r="262" spans="2:9" hidden="1" x14ac:dyDescent="0.25">
      <c r="B262" s="14"/>
      <c r="C262" s="14" t="s">
        <v>719</v>
      </c>
      <c r="D262" s="44" t="s">
        <v>716</v>
      </c>
      <c r="E262" s="10"/>
      <c r="F262" s="19"/>
      <c r="G262" s="19"/>
      <c r="H262" s="12">
        <f t="shared" si="5"/>
        <v>0</v>
      </c>
      <c r="I262" s="1">
        <v>0</v>
      </c>
    </row>
    <row r="263" spans="2:9" hidden="1" x14ac:dyDescent="0.25">
      <c r="B263" s="14"/>
      <c r="C263" s="14" t="s">
        <v>719</v>
      </c>
      <c r="D263" s="44" t="s">
        <v>717</v>
      </c>
      <c r="E263" s="10"/>
      <c r="F263" s="19"/>
      <c r="G263" s="19"/>
      <c r="H263" s="12">
        <f t="shared" si="5"/>
        <v>0</v>
      </c>
      <c r="I263" s="1">
        <v>0</v>
      </c>
    </row>
    <row r="264" spans="2:9" ht="20.25" hidden="1" x14ac:dyDescent="0.3">
      <c r="B264" s="69">
        <v>4607073978289</v>
      </c>
      <c r="C264" s="70" t="s">
        <v>719</v>
      </c>
      <c r="D264" s="71" t="s">
        <v>718</v>
      </c>
      <c r="E264" s="99">
        <v>10500</v>
      </c>
      <c r="F264" s="15"/>
      <c r="G264" s="18" t="s">
        <v>819</v>
      </c>
      <c r="H264" s="15">
        <f t="shared" si="5"/>
        <v>0</v>
      </c>
      <c r="I264" s="1">
        <v>0</v>
      </c>
    </row>
    <row r="265" spans="2:9" hidden="1" x14ac:dyDescent="0.25">
      <c r="B265" s="22"/>
      <c r="C265" s="14" t="s">
        <v>719</v>
      </c>
      <c r="D265" s="44" t="s">
        <v>720</v>
      </c>
      <c r="E265" s="18"/>
      <c r="F265" s="15"/>
      <c r="G265" s="15"/>
      <c r="H265" s="15">
        <f t="shared" si="5"/>
        <v>0</v>
      </c>
      <c r="I265" s="1">
        <v>0</v>
      </c>
    </row>
    <row r="266" spans="2:9" ht="20.25" hidden="1" x14ac:dyDescent="0.3">
      <c r="B266" s="69">
        <v>4607073977596</v>
      </c>
      <c r="C266" s="70" t="s">
        <v>719</v>
      </c>
      <c r="D266" s="71" t="s">
        <v>721</v>
      </c>
      <c r="E266" s="99">
        <v>10500</v>
      </c>
      <c r="F266" s="19"/>
      <c r="G266" s="18" t="s">
        <v>819</v>
      </c>
      <c r="H266" s="12">
        <f t="shared" si="5"/>
        <v>0</v>
      </c>
      <c r="I266" s="1">
        <v>0</v>
      </c>
    </row>
    <row r="267" spans="2:9" ht="20.25" hidden="1" x14ac:dyDescent="0.3">
      <c r="B267" s="69">
        <v>4607073977572</v>
      </c>
      <c r="C267" s="70" t="s">
        <v>719</v>
      </c>
      <c r="D267" s="71" t="s">
        <v>722</v>
      </c>
      <c r="E267" s="99">
        <v>10500</v>
      </c>
      <c r="F267" s="19"/>
      <c r="G267" s="18" t="s">
        <v>819</v>
      </c>
      <c r="H267" s="12">
        <f t="shared" si="5"/>
        <v>0</v>
      </c>
      <c r="I267" s="1">
        <v>0</v>
      </c>
    </row>
    <row r="268" spans="2:9" hidden="1" x14ac:dyDescent="0.25">
      <c r="B268" s="14"/>
      <c r="C268" s="14" t="s">
        <v>719</v>
      </c>
      <c r="D268" s="44" t="s">
        <v>723</v>
      </c>
      <c r="E268" s="10"/>
      <c r="F268" s="19"/>
      <c r="G268" s="19"/>
      <c r="H268" s="12">
        <f t="shared" si="5"/>
        <v>0</v>
      </c>
      <c r="I268" s="1">
        <v>0</v>
      </c>
    </row>
    <row r="269" spans="2:9" ht="20.25" hidden="1" x14ac:dyDescent="0.3">
      <c r="B269" s="69">
        <v>4607073978074</v>
      </c>
      <c r="C269" s="70" t="s">
        <v>719</v>
      </c>
      <c r="D269" s="71" t="s">
        <v>724</v>
      </c>
      <c r="E269" s="99">
        <v>10500</v>
      </c>
      <c r="F269" s="19"/>
      <c r="G269" s="18" t="s">
        <v>819</v>
      </c>
      <c r="H269" s="12">
        <f t="shared" si="5"/>
        <v>0</v>
      </c>
      <c r="I269" s="1">
        <v>0</v>
      </c>
    </row>
    <row r="270" spans="2:9" ht="20.25" hidden="1" x14ac:dyDescent="0.3">
      <c r="B270" s="69">
        <v>4607073978661</v>
      </c>
      <c r="C270" s="70" t="s">
        <v>719</v>
      </c>
      <c r="D270" s="71" t="s">
        <v>725</v>
      </c>
      <c r="E270" s="99">
        <v>10500</v>
      </c>
      <c r="F270" s="19"/>
      <c r="G270" s="18" t="s">
        <v>819</v>
      </c>
      <c r="H270" s="12">
        <f t="shared" si="5"/>
        <v>0</v>
      </c>
      <c r="I270" s="1">
        <v>0</v>
      </c>
    </row>
    <row r="271" spans="2:9" ht="20.25" hidden="1" x14ac:dyDescent="0.3">
      <c r="B271" s="69">
        <v>4607073976346</v>
      </c>
      <c r="C271" s="70" t="s">
        <v>719</v>
      </c>
      <c r="D271" s="71" t="s">
        <v>726</v>
      </c>
      <c r="E271" s="104">
        <v>19500</v>
      </c>
      <c r="F271" s="11"/>
      <c r="G271" s="18" t="s">
        <v>819</v>
      </c>
      <c r="H271" s="12">
        <f t="shared" si="5"/>
        <v>0</v>
      </c>
      <c r="I271" s="1">
        <v>0</v>
      </c>
    </row>
    <row r="272" spans="2:9" hidden="1" x14ac:dyDescent="0.25">
      <c r="B272" s="14"/>
      <c r="C272" s="14" t="s">
        <v>719</v>
      </c>
      <c r="D272" s="44" t="s">
        <v>727</v>
      </c>
      <c r="E272" s="18"/>
      <c r="F272" s="45"/>
      <c r="G272" s="45"/>
      <c r="H272" s="45">
        <f t="shared" si="5"/>
        <v>0</v>
      </c>
      <c r="I272" s="1">
        <v>0</v>
      </c>
    </row>
    <row r="273" spans="2:9" hidden="1" x14ac:dyDescent="0.25">
      <c r="B273" s="14"/>
      <c r="C273" s="14" t="s">
        <v>719</v>
      </c>
      <c r="D273" s="44" t="s">
        <v>728</v>
      </c>
      <c r="E273" s="18"/>
      <c r="F273" s="45"/>
      <c r="G273" s="45"/>
      <c r="H273" s="45">
        <f t="shared" si="5"/>
        <v>0</v>
      </c>
      <c r="I273" s="1">
        <v>0</v>
      </c>
    </row>
    <row r="274" spans="2:9" ht="20.25" hidden="1" x14ac:dyDescent="0.3">
      <c r="B274" s="69">
        <v>4607073976407</v>
      </c>
      <c r="C274" s="70" t="s">
        <v>719</v>
      </c>
      <c r="D274" s="71" t="s">
        <v>729</v>
      </c>
      <c r="E274" s="104">
        <v>11200</v>
      </c>
      <c r="F274" s="45"/>
      <c r="G274" s="18" t="s">
        <v>819</v>
      </c>
      <c r="H274" s="45">
        <f t="shared" si="5"/>
        <v>0</v>
      </c>
      <c r="I274" s="1">
        <v>0</v>
      </c>
    </row>
    <row r="275" spans="2:9" ht="20.25" hidden="1" x14ac:dyDescent="0.3">
      <c r="B275" s="69">
        <v>4607073976384</v>
      </c>
      <c r="C275" s="70" t="s">
        <v>719</v>
      </c>
      <c r="D275" s="71" t="s">
        <v>730</v>
      </c>
      <c r="E275" s="104">
        <v>11200</v>
      </c>
      <c r="F275" s="45"/>
      <c r="G275" s="18" t="s">
        <v>819</v>
      </c>
      <c r="H275" s="45">
        <f t="shared" si="5"/>
        <v>0</v>
      </c>
      <c r="I275" s="1">
        <v>0</v>
      </c>
    </row>
    <row r="276" spans="2:9" hidden="1" x14ac:dyDescent="0.25">
      <c r="B276" s="23"/>
      <c r="C276" s="14" t="s">
        <v>719</v>
      </c>
      <c r="D276" s="44"/>
      <c r="E276" s="18"/>
      <c r="F276" s="15"/>
      <c r="G276" s="15"/>
      <c r="H276" s="15">
        <f t="shared" si="5"/>
        <v>0</v>
      </c>
      <c r="I276" s="1">
        <v>0</v>
      </c>
    </row>
    <row r="277" spans="2:9" hidden="1" x14ac:dyDescent="0.25">
      <c r="B277" s="14"/>
      <c r="C277" s="14" t="s">
        <v>719</v>
      </c>
      <c r="D277" s="44"/>
      <c r="E277" s="10"/>
      <c r="F277" s="19"/>
      <c r="G277" s="19"/>
      <c r="H277" s="12">
        <f t="shared" si="5"/>
        <v>0</v>
      </c>
      <c r="I277" s="1">
        <v>0</v>
      </c>
    </row>
    <row r="278" spans="2:9" ht="20.25" hidden="1" x14ac:dyDescent="0.3">
      <c r="B278" s="69">
        <v>4607073976759</v>
      </c>
      <c r="C278" s="70" t="s">
        <v>719</v>
      </c>
      <c r="D278" s="71" t="s">
        <v>815</v>
      </c>
      <c r="E278" s="104">
        <v>7000</v>
      </c>
      <c r="F278" s="19"/>
      <c r="G278" s="18" t="s">
        <v>819</v>
      </c>
      <c r="H278" s="12">
        <f t="shared" ref="H278:H341" si="6">+F278*E278</f>
        <v>0</v>
      </c>
      <c r="I278" s="1">
        <v>0</v>
      </c>
    </row>
    <row r="279" spans="2:9" ht="20.25" hidden="1" x14ac:dyDescent="0.3">
      <c r="B279" s="69">
        <v>4607073976735</v>
      </c>
      <c r="C279" s="70" t="s">
        <v>719</v>
      </c>
      <c r="D279" s="71" t="s">
        <v>731</v>
      </c>
      <c r="E279" s="104">
        <v>7000</v>
      </c>
      <c r="F279" s="19"/>
      <c r="G279" s="18" t="s">
        <v>819</v>
      </c>
      <c r="H279" s="12">
        <f t="shared" si="6"/>
        <v>0</v>
      </c>
      <c r="I279" s="1">
        <v>0</v>
      </c>
    </row>
    <row r="280" spans="2:9" hidden="1" x14ac:dyDescent="0.25">
      <c r="B280" s="14"/>
      <c r="C280" s="14" t="s">
        <v>719</v>
      </c>
      <c r="D280" s="44" t="s">
        <v>732</v>
      </c>
      <c r="E280" s="10"/>
      <c r="F280" s="19"/>
      <c r="G280" s="19"/>
      <c r="H280" s="12">
        <f t="shared" si="6"/>
        <v>0</v>
      </c>
      <c r="I280" s="1">
        <v>0</v>
      </c>
    </row>
    <row r="281" spans="2:9" hidden="1" x14ac:dyDescent="0.25">
      <c r="B281" s="14"/>
      <c r="C281" s="14" t="s">
        <v>719</v>
      </c>
      <c r="D281" s="44" t="s">
        <v>733</v>
      </c>
      <c r="E281" s="10"/>
      <c r="F281" s="19"/>
      <c r="G281" s="19"/>
      <c r="H281" s="12">
        <f t="shared" si="6"/>
        <v>0</v>
      </c>
      <c r="I281" s="1">
        <v>0</v>
      </c>
    </row>
    <row r="282" spans="2:9" hidden="1" x14ac:dyDescent="0.25">
      <c r="B282" s="14">
        <v>4607073976841</v>
      </c>
      <c r="C282" s="14" t="s">
        <v>719</v>
      </c>
      <c r="D282" s="44" t="s">
        <v>734</v>
      </c>
      <c r="E282" s="10"/>
      <c r="F282" s="19"/>
      <c r="G282" s="19"/>
      <c r="H282" s="12">
        <f t="shared" si="6"/>
        <v>0</v>
      </c>
      <c r="I282" s="1">
        <v>0</v>
      </c>
    </row>
    <row r="283" spans="2:9" hidden="1" x14ac:dyDescent="0.25">
      <c r="B283" s="14">
        <v>4607073976858</v>
      </c>
      <c r="C283" s="14" t="s">
        <v>719</v>
      </c>
      <c r="D283" s="44" t="s">
        <v>735</v>
      </c>
      <c r="E283" s="10"/>
      <c r="F283" s="19"/>
      <c r="G283" s="19"/>
      <c r="H283" s="12">
        <f t="shared" si="6"/>
        <v>0</v>
      </c>
      <c r="I283" s="1">
        <v>0</v>
      </c>
    </row>
    <row r="284" spans="2:9" hidden="1" x14ac:dyDescent="0.25">
      <c r="B284" s="14"/>
      <c r="C284" s="14" t="s">
        <v>719</v>
      </c>
      <c r="D284" s="44" t="s">
        <v>736</v>
      </c>
      <c r="E284" s="10"/>
      <c r="F284" s="19"/>
      <c r="G284" s="19"/>
      <c r="H284" s="12">
        <f t="shared" si="6"/>
        <v>0</v>
      </c>
      <c r="I284" s="1">
        <v>0</v>
      </c>
    </row>
    <row r="285" spans="2:9" hidden="1" x14ac:dyDescent="0.25">
      <c r="B285" s="14"/>
      <c r="C285" s="14" t="s">
        <v>719</v>
      </c>
      <c r="D285" s="44" t="s">
        <v>737</v>
      </c>
      <c r="E285" s="10"/>
      <c r="F285" s="19"/>
      <c r="G285" s="19"/>
      <c r="H285" s="12">
        <f t="shared" si="6"/>
        <v>0</v>
      </c>
      <c r="I285" s="1">
        <v>0</v>
      </c>
    </row>
    <row r="286" spans="2:9" hidden="1" x14ac:dyDescent="0.25">
      <c r="B286" s="14"/>
      <c r="C286" s="14" t="s">
        <v>719</v>
      </c>
      <c r="D286" s="44" t="s">
        <v>738</v>
      </c>
      <c r="E286" s="18"/>
      <c r="F286" s="15"/>
      <c r="G286" s="15"/>
      <c r="H286" s="15">
        <f t="shared" si="6"/>
        <v>0</v>
      </c>
      <c r="I286" s="1">
        <v>0</v>
      </c>
    </row>
    <row r="287" spans="2:9" hidden="1" x14ac:dyDescent="0.25">
      <c r="B287" s="14"/>
      <c r="C287" s="14" t="s">
        <v>719</v>
      </c>
      <c r="D287" s="45" t="s">
        <v>739</v>
      </c>
      <c r="E287" s="18"/>
      <c r="F287" s="15"/>
      <c r="G287" s="15"/>
      <c r="H287" s="15">
        <f t="shared" si="6"/>
        <v>0</v>
      </c>
      <c r="I287" s="1">
        <v>0</v>
      </c>
    </row>
    <row r="288" spans="2:9" hidden="1" x14ac:dyDescent="0.25">
      <c r="B288" s="14"/>
      <c r="C288" s="14" t="s">
        <v>719</v>
      </c>
      <c r="D288" s="44" t="s">
        <v>740</v>
      </c>
      <c r="E288" s="10"/>
      <c r="F288" s="19"/>
      <c r="G288" s="19"/>
      <c r="H288" s="12">
        <f t="shared" si="6"/>
        <v>0</v>
      </c>
      <c r="I288" s="1">
        <v>0</v>
      </c>
    </row>
    <row r="289" spans="2:9" hidden="1" x14ac:dyDescent="0.25">
      <c r="B289" s="14"/>
      <c r="C289" s="14" t="s">
        <v>719</v>
      </c>
      <c r="D289" s="44" t="s">
        <v>741</v>
      </c>
      <c r="E289" s="10"/>
      <c r="F289" s="19"/>
      <c r="G289" s="19"/>
      <c r="H289" s="12">
        <f t="shared" si="6"/>
        <v>0</v>
      </c>
      <c r="I289" s="1">
        <v>0</v>
      </c>
    </row>
    <row r="290" spans="2:9" hidden="1" x14ac:dyDescent="0.25">
      <c r="B290" s="14"/>
      <c r="C290" s="14" t="s">
        <v>719</v>
      </c>
      <c r="D290" s="44" t="s">
        <v>742</v>
      </c>
      <c r="E290" s="10"/>
      <c r="F290" s="19"/>
      <c r="G290" s="19"/>
      <c r="H290" s="12">
        <f t="shared" si="6"/>
        <v>0</v>
      </c>
      <c r="I290" s="1">
        <v>0</v>
      </c>
    </row>
    <row r="291" spans="2:9" hidden="1" x14ac:dyDescent="0.25">
      <c r="B291" s="14"/>
      <c r="C291" s="14" t="s">
        <v>719</v>
      </c>
      <c r="D291" s="44" t="s">
        <v>743</v>
      </c>
      <c r="E291" s="10"/>
      <c r="F291" s="12"/>
      <c r="G291" s="12"/>
      <c r="H291" s="12">
        <f t="shared" si="6"/>
        <v>0</v>
      </c>
      <c r="I291" s="1">
        <v>0</v>
      </c>
    </row>
    <row r="292" spans="2:9" ht="20.25" hidden="1" x14ac:dyDescent="0.3">
      <c r="B292" s="69">
        <v>4607073978807</v>
      </c>
      <c r="C292" s="70" t="s">
        <v>719</v>
      </c>
      <c r="D292" s="71" t="s">
        <v>744</v>
      </c>
      <c r="E292" s="99">
        <v>20500</v>
      </c>
      <c r="F292" s="15"/>
      <c r="G292" s="18" t="s">
        <v>819</v>
      </c>
      <c r="H292" s="15">
        <f t="shared" si="6"/>
        <v>0</v>
      </c>
      <c r="I292" s="1">
        <v>0</v>
      </c>
    </row>
    <row r="293" spans="2:9" ht="20.25" hidden="1" x14ac:dyDescent="0.3">
      <c r="B293" s="69">
        <v>4607073978876</v>
      </c>
      <c r="C293" s="70" t="s">
        <v>719</v>
      </c>
      <c r="D293" s="71" t="s">
        <v>745</v>
      </c>
      <c r="E293" s="99">
        <v>20500</v>
      </c>
      <c r="F293" s="15"/>
      <c r="G293" s="18" t="s">
        <v>819</v>
      </c>
      <c r="H293" s="15">
        <f t="shared" si="6"/>
        <v>0</v>
      </c>
      <c r="I293" s="1">
        <v>0</v>
      </c>
    </row>
    <row r="294" spans="2:9" hidden="1" x14ac:dyDescent="0.25">
      <c r="B294" s="14"/>
      <c r="C294" s="14" t="s">
        <v>719</v>
      </c>
      <c r="D294" s="44" t="s">
        <v>746</v>
      </c>
      <c r="E294" s="18"/>
      <c r="F294" s="18"/>
      <c r="G294" s="18"/>
      <c r="H294" s="18">
        <f t="shared" si="6"/>
        <v>0</v>
      </c>
      <c r="I294" s="1">
        <v>0</v>
      </c>
    </row>
    <row r="295" spans="2:9" hidden="1" x14ac:dyDescent="0.25">
      <c r="B295" s="14"/>
      <c r="C295" s="14" t="s">
        <v>719</v>
      </c>
      <c r="D295" s="44" t="s">
        <v>747</v>
      </c>
      <c r="E295" s="10"/>
      <c r="F295" s="24"/>
      <c r="G295" s="24"/>
      <c r="H295" s="12">
        <f t="shared" si="6"/>
        <v>0</v>
      </c>
      <c r="I295" s="1">
        <v>0</v>
      </c>
    </row>
    <row r="296" spans="2:9" hidden="1" x14ac:dyDescent="0.25">
      <c r="B296" s="14"/>
      <c r="C296" s="14" t="s">
        <v>719</v>
      </c>
      <c r="D296" s="44" t="s">
        <v>748</v>
      </c>
      <c r="E296" s="10"/>
      <c r="F296" s="12"/>
      <c r="G296" s="12"/>
      <c r="H296" s="12">
        <f t="shared" si="6"/>
        <v>0</v>
      </c>
      <c r="I296" s="1">
        <v>0</v>
      </c>
    </row>
    <row r="297" spans="2:9" hidden="1" x14ac:dyDescent="0.25">
      <c r="B297" s="14"/>
      <c r="C297" s="14" t="s">
        <v>719</v>
      </c>
      <c r="D297" s="44" t="s">
        <v>749</v>
      </c>
      <c r="E297" s="18"/>
      <c r="F297" s="45"/>
      <c r="G297" s="45"/>
      <c r="H297" s="14">
        <f t="shared" si="6"/>
        <v>0</v>
      </c>
      <c r="I297" s="1">
        <v>0</v>
      </c>
    </row>
    <row r="298" spans="2:9" hidden="1" x14ac:dyDescent="0.25">
      <c r="B298" s="14"/>
      <c r="C298" s="14" t="s">
        <v>719</v>
      </c>
      <c r="D298" s="44" t="s">
        <v>750</v>
      </c>
      <c r="E298" s="10"/>
      <c r="F298" s="12"/>
      <c r="G298" s="12"/>
      <c r="H298" s="12">
        <f t="shared" si="6"/>
        <v>0</v>
      </c>
      <c r="I298" s="1">
        <v>0</v>
      </c>
    </row>
    <row r="299" spans="2:9" hidden="1" x14ac:dyDescent="0.25">
      <c r="B299" s="14"/>
      <c r="C299" s="14" t="s">
        <v>719</v>
      </c>
      <c r="D299" s="44" t="s">
        <v>751</v>
      </c>
      <c r="E299" s="10"/>
      <c r="F299" s="12"/>
      <c r="G299" s="12"/>
      <c r="H299" s="12">
        <f t="shared" si="6"/>
        <v>0</v>
      </c>
      <c r="I299" s="1">
        <v>0</v>
      </c>
    </row>
    <row r="300" spans="2:9" hidden="1" x14ac:dyDescent="0.25">
      <c r="B300" s="14"/>
      <c r="C300" s="14" t="s">
        <v>719</v>
      </c>
      <c r="D300" s="44" t="s">
        <v>752</v>
      </c>
      <c r="E300" s="10"/>
      <c r="F300" s="12"/>
      <c r="G300" s="12"/>
      <c r="H300" s="12">
        <f t="shared" si="6"/>
        <v>0</v>
      </c>
      <c r="I300" s="1">
        <v>0</v>
      </c>
    </row>
    <row r="301" spans="2:9" ht="20.25" hidden="1" x14ac:dyDescent="0.3">
      <c r="B301" s="69">
        <v>4607073977206</v>
      </c>
      <c r="C301" s="70" t="s">
        <v>719</v>
      </c>
      <c r="D301" s="71" t="s">
        <v>753</v>
      </c>
      <c r="E301" s="99">
        <v>12000</v>
      </c>
      <c r="F301" s="12"/>
      <c r="G301" s="18" t="s">
        <v>819</v>
      </c>
      <c r="H301" s="12">
        <f t="shared" si="6"/>
        <v>0</v>
      </c>
      <c r="I301" s="1">
        <v>0</v>
      </c>
    </row>
    <row r="302" spans="2:9" ht="20.25" hidden="1" x14ac:dyDescent="0.3">
      <c r="B302" s="69">
        <v>4607073977800</v>
      </c>
      <c r="C302" s="70" t="s">
        <v>719</v>
      </c>
      <c r="D302" s="71" t="s">
        <v>754</v>
      </c>
      <c r="E302" s="99">
        <v>12000</v>
      </c>
      <c r="F302" s="12"/>
      <c r="G302" s="18" t="s">
        <v>819</v>
      </c>
      <c r="H302" s="12">
        <f t="shared" si="6"/>
        <v>0</v>
      </c>
      <c r="I302" s="1">
        <v>0</v>
      </c>
    </row>
    <row r="303" spans="2:9" hidden="1" x14ac:dyDescent="0.25">
      <c r="B303" s="14"/>
      <c r="C303" s="14" t="s">
        <v>719</v>
      </c>
      <c r="D303" s="44" t="s">
        <v>755</v>
      </c>
      <c r="E303" s="10"/>
      <c r="F303" s="12"/>
      <c r="G303" s="12"/>
      <c r="H303" s="12">
        <f t="shared" si="6"/>
        <v>0</v>
      </c>
      <c r="I303" s="1">
        <v>0</v>
      </c>
    </row>
    <row r="304" spans="2:9" ht="20.25" hidden="1" x14ac:dyDescent="0.3">
      <c r="B304" s="69">
        <v>4607073976926</v>
      </c>
      <c r="C304" s="70" t="s">
        <v>719</v>
      </c>
      <c r="D304" s="71" t="s">
        <v>756</v>
      </c>
      <c r="E304" s="99">
        <v>13700</v>
      </c>
      <c r="F304" s="12"/>
      <c r="G304" s="18" t="s">
        <v>819</v>
      </c>
      <c r="H304" s="12">
        <f t="shared" si="6"/>
        <v>0</v>
      </c>
      <c r="I304" s="1">
        <v>0</v>
      </c>
    </row>
    <row r="305" spans="2:9" ht="20.25" hidden="1" x14ac:dyDescent="0.3">
      <c r="B305" s="69">
        <v>4607073976919</v>
      </c>
      <c r="C305" s="70" t="s">
        <v>719</v>
      </c>
      <c r="D305" s="71" t="s">
        <v>757</v>
      </c>
      <c r="E305" s="99">
        <v>13700</v>
      </c>
      <c r="F305" s="12"/>
      <c r="G305" s="18" t="s">
        <v>819</v>
      </c>
      <c r="H305" s="12">
        <f t="shared" si="6"/>
        <v>0</v>
      </c>
      <c r="I305" s="1">
        <v>0</v>
      </c>
    </row>
    <row r="306" spans="2:9" ht="20.25" hidden="1" x14ac:dyDescent="0.3">
      <c r="B306" s="69">
        <v>4607073976896</v>
      </c>
      <c r="C306" s="70" t="s">
        <v>719</v>
      </c>
      <c r="D306" s="71" t="s">
        <v>758</v>
      </c>
      <c r="E306" s="99">
        <v>13700</v>
      </c>
      <c r="F306" s="12"/>
      <c r="G306" s="18" t="s">
        <v>819</v>
      </c>
      <c r="H306" s="12">
        <f t="shared" si="6"/>
        <v>0</v>
      </c>
      <c r="I306" s="1">
        <v>0</v>
      </c>
    </row>
    <row r="307" spans="2:9" hidden="1" x14ac:dyDescent="0.25">
      <c r="B307" s="14"/>
      <c r="C307" s="14" t="s">
        <v>719</v>
      </c>
      <c r="D307" s="44" t="s">
        <v>759</v>
      </c>
      <c r="E307" s="10"/>
      <c r="F307" s="12"/>
      <c r="G307" s="12"/>
      <c r="H307" s="12">
        <f t="shared" si="6"/>
        <v>0</v>
      </c>
      <c r="I307" s="1">
        <v>0</v>
      </c>
    </row>
    <row r="308" spans="2:9" ht="20.25" hidden="1" x14ac:dyDescent="0.3">
      <c r="B308" s="98">
        <v>4607073977695</v>
      </c>
      <c r="C308" s="70" t="s">
        <v>719</v>
      </c>
      <c r="D308" s="71" t="s">
        <v>760</v>
      </c>
      <c r="E308" s="99">
        <v>13700</v>
      </c>
      <c r="F308" s="15"/>
      <c r="G308" s="18" t="s">
        <v>819</v>
      </c>
      <c r="H308" s="15">
        <f t="shared" si="6"/>
        <v>0</v>
      </c>
      <c r="I308" s="1">
        <v>0</v>
      </c>
    </row>
    <row r="309" spans="2:9" ht="20.25" hidden="1" x14ac:dyDescent="0.3">
      <c r="B309" s="98">
        <v>4607073977664</v>
      </c>
      <c r="C309" s="70" t="s">
        <v>719</v>
      </c>
      <c r="D309" s="71" t="s">
        <v>761</v>
      </c>
      <c r="E309" s="99">
        <v>13700</v>
      </c>
      <c r="F309" s="11"/>
      <c r="G309" s="18" t="s">
        <v>819</v>
      </c>
      <c r="H309" s="12">
        <f t="shared" si="6"/>
        <v>0</v>
      </c>
      <c r="I309" s="1">
        <v>0</v>
      </c>
    </row>
    <row r="310" spans="2:9" ht="20.25" hidden="1" x14ac:dyDescent="0.3">
      <c r="B310" s="69">
        <v>4607073977862</v>
      </c>
      <c r="C310" s="70" t="s">
        <v>719</v>
      </c>
      <c r="D310" s="71" t="s">
        <v>762</v>
      </c>
      <c r="E310" s="99">
        <v>13700</v>
      </c>
      <c r="F310" s="12"/>
      <c r="G310" s="18" t="s">
        <v>819</v>
      </c>
      <c r="H310" s="12">
        <f t="shared" si="6"/>
        <v>0</v>
      </c>
      <c r="I310" s="1">
        <v>0</v>
      </c>
    </row>
    <row r="311" spans="2:9" ht="20.25" hidden="1" x14ac:dyDescent="0.3">
      <c r="B311" s="69">
        <v>4607073977831</v>
      </c>
      <c r="C311" s="70" t="s">
        <v>719</v>
      </c>
      <c r="D311" s="71" t="s">
        <v>763</v>
      </c>
      <c r="E311" s="99">
        <v>13700</v>
      </c>
      <c r="F311" s="12"/>
      <c r="G311" s="18" t="s">
        <v>819</v>
      </c>
      <c r="H311" s="12">
        <f t="shared" si="6"/>
        <v>0</v>
      </c>
      <c r="I311" s="1">
        <v>0</v>
      </c>
    </row>
    <row r="312" spans="2:9" hidden="1" x14ac:dyDescent="0.25">
      <c r="B312" s="21"/>
      <c r="C312" s="14" t="s">
        <v>719</v>
      </c>
      <c r="D312" s="44" t="s">
        <v>764</v>
      </c>
      <c r="E312" s="18"/>
      <c r="F312" s="18"/>
      <c r="G312" s="18"/>
      <c r="H312" s="18">
        <f t="shared" si="6"/>
        <v>0</v>
      </c>
      <c r="I312" s="1">
        <v>0</v>
      </c>
    </row>
    <row r="313" spans="2:9" hidden="1" x14ac:dyDescent="0.25">
      <c r="B313" s="14"/>
      <c r="C313" s="14" t="s">
        <v>719</v>
      </c>
      <c r="D313" s="44" t="s">
        <v>765</v>
      </c>
      <c r="E313" s="10"/>
      <c r="F313" s="12"/>
      <c r="G313" s="12"/>
      <c r="H313" s="12">
        <f t="shared" si="6"/>
        <v>0</v>
      </c>
      <c r="I313" s="1">
        <v>0</v>
      </c>
    </row>
    <row r="314" spans="2:9" hidden="1" x14ac:dyDescent="0.25">
      <c r="B314" s="14"/>
      <c r="C314" s="14" t="s">
        <v>719</v>
      </c>
      <c r="D314" s="44" t="s">
        <v>766</v>
      </c>
      <c r="E314" s="10"/>
      <c r="F314" s="12"/>
      <c r="G314" s="12"/>
      <c r="H314" s="12">
        <f t="shared" si="6"/>
        <v>0</v>
      </c>
      <c r="I314" s="1">
        <v>0</v>
      </c>
    </row>
    <row r="315" spans="2:9" hidden="1" x14ac:dyDescent="0.25">
      <c r="B315" s="21"/>
      <c r="C315" s="14" t="s">
        <v>719</v>
      </c>
      <c r="D315" s="44" t="s">
        <v>767</v>
      </c>
      <c r="E315" s="18"/>
      <c r="F315" s="15"/>
      <c r="G315" s="15"/>
      <c r="H315" s="15">
        <f t="shared" si="6"/>
        <v>0</v>
      </c>
      <c r="I315" s="1">
        <v>0</v>
      </c>
    </row>
    <row r="316" spans="2:9" hidden="1" x14ac:dyDescent="0.25">
      <c r="B316" s="14"/>
      <c r="C316" s="14" t="s">
        <v>719</v>
      </c>
      <c r="D316" s="44" t="s">
        <v>768</v>
      </c>
      <c r="E316" s="10"/>
      <c r="F316" s="12"/>
      <c r="G316" s="12"/>
      <c r="H316" s="12">
        <f t="shared" si="6"/>
        <v>0</v>
      </c>
      <c r="I316" s="1">
        <v>0</v>
      </c>
    </row>
    <row r="317" spans="2:9" hidden="1" x14ac:dyDescent="0.25">
      <c r="B317" s="21"/>
      <c r="C317" s="14" t="s">
        <v>719</v>
      </c>
      <c r="D317" s="44" t="s">
        <v>769</v>
      </c>
      <c r="E317" s="18">
        <v>7750</v>
      </c>
      <c r="F317" s="15"/>
      <c r="G317" s="15"/>
      <c r="H317" s="15">
        <f t="shared" si="6"/>
        <v>0</v>
      </c>
      <c r="I317" s="1">
        <v>0</v>
      </c>
    </row>
    <row r="318" spans="2:9" hidden="1" x14ac:dyDescent="0.25">
      <c r="B318" s="25"/>
      <c r="C318" s="14" t="s">
        <v>719</v>
      </c>
      <c r="D318" s="44" t="s">
        <v>770</v>
      </c>
      <c r="E318" s="10">
        <v>12100</v>
      </c>
      <c r="F318" s="11"/>
      <c r="G318" s="11"/>
      <c r="H318" s="12">
        <f t="shared" si="6"/>
        <v>0</v>
      </c>
      <c r="I318" s="1">
        <v>0</v>
      </c>
    </row>
    <row r="319" spans="2:9" hidden="1" x14ac:dyDescent="0.25">
      <c r="B319" s="25"/>
      <c r="C319" s="14" t="s">
        <v>719</v>
      </c>
      <c r="D319" s="44" t="s">
        <v>771</v>
      </c>
      <c r="E319" s="18">
        <v>12100</v>
      </c>
      <c r="F319" s="15"/>
      <c r="G319" s="15"/>
      <c r="H319" s="18">
        <f t="shared" si="6"/>
        <v>0</v>
      </c>
      <c r="I319" s="1">
        <v>0</v>
      </c>
    </row>
    <row r="320" spans="2:9" hidden="1" x14ac:dyDescent="0.25">
      <c r="B320" s="14"/>
      <c r="C320" s="14" t="s">
        <v>719</v>
      </c>
      <c r="D320" s="44" t="s">
        <v>772</v>
      </c>
      <c r="E320" s="10"/>
      <c r="F320" s="12"/>
      <c r="G320" s="12"/>
      <c r="H320" s="12">
        <f t="shared" si="6"/>
        <v>0</v>
      </c>
      <c r="I320" s="1">
        <v>0</v>
      </c>
    </row>
    <row r="321" spans="2:9" hidden="1" x14ac:dyDescent="0.25">
      <c r="B321" s="14"/>
      <c r="C321" s="14" t="s">
        <v>719</v>
      </c>
      <c r="D321" s="44" t="s">
        <v>773</v>
      </c>
      <c r="E321" s="10"/>
      <c r="F321" s="12"/>
      <c r="G321" s="12"/>
      <c r="H321" s="12">
        <f t="shared" si="6"/>
        <v>0</v>
      </c>
      <c r="I321" s="1">
        <v>0</v>
      </c>
    </row>
    <row r="322" spans="2:9" hidden="1" x14ac:dyDescent="0.25">
      <c r="B322" s="14"/>
      <c r="C322" s="14" t="s">
        <v>719</v>
      </c>
      <c r="D322" s="44" t="s">
        <v>774</v>
      </c>
      <c r="E322" s="10"/>
      <c r="F322" s="12"/>
      <c r="G322" s="12"/>
      <c r="H322" s="12">
        <f t="shared" si="6"/>
        <v>0</v>
      </c>
      <c r="I322" s="1">
        <v>0</v>
      </c>
    </row>
    <row r="323" spans="2:9" hidden="1" x14ac:dyDescent="0.25">
      <c r="B323" s="25"/>
      <c r="C323" s="14" t="s">
        <v>719</v>
      </c>
      <c r="D323" s="44" t="s">
        <v>775</v>
      </c>
      <c r="E323" s="10">
        <v>15595</v>
      </c>
      <c r="F323" s="11"/>
      <c r="G323" s="11"/>
      <c r="H323" s="12">
        <f t="shared" si="6"/>
        <v>0</v>
      </c>
      <c r="I323" s="1">
        <v>0</v>
      </c>
    </row>
    <row r="324" spans="2:9" hidden="1" x14ac:dyDescent="0.25">
      <c r="B324" s="14"/>
      <c r="C324" s="14" t="s">
        <v>719</v>
      </c>
      <c r="D324" s="44" t="s">
        <v>776</v>
      </c>
      <c r="E324" s="10"/>
      <c r="F324" s="12"/>
      <c r="G324" s="12"/>
      <c r="H324" s="12">
        <f t="shared" si="6"/>
        <v>0</v>
      </c>
      <c r="I324" s="1">
        <v>0</v>
      </c>
    </row>
    <row r="325" spans="2:9" hidden="1" x14ac:dyDescent="0.25">
      <c r="B325" s="14"/>
      <c r="C325" s="14" t="s">
        <v>719</v>
      </c>
      <c r="D325" s="44" t="s">
        <v>777</v>
      </c>
      <c r="E325" s="10"/>
      <c r="F325" s="12"/>
      <c r="G325" s="12"/>
      <c r="H325" s="12">
        <f t="shared" si="6"/>
        <v>0</v>
      </c>
      <c r="I325" s="1">
        <v>0</v>
      </c>
    </row>
    <row r="326" spans="2:9" hidden="1" x14ac:dyDescent="0.25">
      <c r="B326" s="14"/>
      <c r="C326" s="14" t="s">
        <v>719</v>
      </c>
      <c r="D326" s="44" t="s">
        <v>778</v>
      </c>
      <c r="E326" s="10"/>
      <c r="F326" s="12"/>
      <c r="G326" s="12"/>
      <c r="H326" s="12">
        <f t="shared" si="6"/>
        <v>0</v>
      </c>
      <c r="I326" s="1">
        <v>0</v>
      </c>
    </row>
    <row r="327" spans="2:9" hidden="1" x14ac:dyDescent="0.25">
      <c r="B327" s="14"/>
      <c r="C327" s="14" t="s">
        <v>719</v>
      </c>
      <c r="D327" s="44" t="s">
        <v>779</v>
      </c>
      <c r="E327" s="10"/>
      <c r="F327" s="12"/>
      <c r="G327" s="12"/>
      <c r="H327" s="12">
        <f t="shared" si="6"/>
        <v>0</v>
      </c>
      <c r="I327" s="1">
        <v>0</v>
      </c>
    </row>
    <row r="328" spans="2:9" hidden="1" x14ac:dyDescent="0.25">
      <c r="B328" s="14"/>
      <c r="C328" s="14" t="s">
        <v>719</v>
      </c>
      <c r="D328" s="44" t="s">
        <v>780</v>
      </c>
      <c r="E328" s="18">
        <v>54450</v>
      </c>
      <c r="F328" s="15"/>
      <c r="G328" s="15"/>
      <c r="H328" s="15">
        <f t="shared" si="6"/>
        <v>0</v>
      </c>
      <c r="I328" s="1">
        <v>0</v>
      </c>
    </row>
    <row r="329" spans="2:9" hidden="1" x14ac:dyDescent="0.25">
      <c r="B329" s="21"/>
      <c r="C329" s="14" t="s">
        <v>719</v>
      </c>
      <c r="D329" s="44" t="s">
        <v>781</v>
      </c>
      <c r="E329" s="18">
        <v>4200</v>
      </c>
      <c r="F329" s="18"/>
      <c r="G329" s="18"/>
      <c r="H329" s="18">
        <f t="shared" si="6"/>
        <v>0</v>
      </c>
      <c r="I329" s="1">
        <v>0</v>
      </c>
    </row>
    <row r="330" spans="2:9" hidden="1" x14ac:dyDescent="0.25">
      <c r="B330" s="21"/>
      <c r="C330" s="14" t="s">
        <v>719</v>
      </c>
      <c r="D330" s="44" t="s">
        <v>782</v>
      </c>
      <c r="E330" s="18">
        <v>3625</v>
      </c>
      <c r="F330" s="15"/>
      <c r="G330" s="15"/>
      <c r="H330" s="15">
        <f t="shared" si="6"/>
        <v>0</v>
      </c>
      <c r="I330" s="1">
        <v>0</v>
      </c>
    </row>
    <row r="331" spans="2:9" hidden="1" x14ac:dyDescent="0.25">
      <c r="B331" s="21"/>
      <c r="C331" s="14" t="s">
        <v>719</v>
      </c>
      <c r="D331" s="44" t="s">
        <v>783</v>
      </c>
      <c r="E331" s="18">
        <v>7000</v>
      </c>
      <c r="F331" s="18"/>
      <c r="G331" s="18"/>
      <c r="H331" s="18">
        <f t="shared" si="6"/>
        <v>0</v>
      </c>
      <c r="I331" s="1">
        <v>0</v>
      </c>
    </row>
    <row r="332" spans="2:9" hidden="1" x14ac:dyDescent="0.25">
      <c r="B332" s="14"/>
      <c r="C332" s="14" t="s">
        <v>719</v>
      </c>
      <c r="D332" s="44" t="s">
        <v>784</v>
      </c>
      <c r="E332" s="18">
        <v>54450</v>
      </c>
      <c r="F332" s="15"/>
      <c r="G332" s="15"/>
      <c r="H332" s="15">
        <f t="shared" si="6"/>
        <v>0</v>
      </c>
      <c r="I332" s="1">
        <v>0</v>
      </c>
    </row>
    <row r="333" spans="2:9" hidden="1" x14ac:dyDescent="0.25">
      <c r="B333" s="21"/>
      <c r="C333" s="14" t="s">
        <v>719</v>
      </c>
      <c r="D333" s="44" t="s">
        <v>785</v>
      </c>
      <c r="E333" s="18">
        <v>7000</v>
      </c>
      <c r="F333" s="18"/>
      <c r="G333" s="18"/>
      <c r="H333" s="18">
        <f t="shared" si="6"/>
        <v>0</v>
      </c>
      <c r="I333" s="1">
        <v>0</v>
      </c>
    </row>
    <row r="334" spans="2:9" hidden="1" x14ac:dyDescent="0.25">
      <c r="B334" s="21"/>
      <c r="C334" s="14" t="s">
        <v>719</v>
      </c>
      <c r="D334" s="44" t="s">
        <v>786</v>
      </c>
      <c r="E334" s="18">
        <v>7000</v>
      </c>
      <c r="F334" s="18"/>
      <c r="G334" s="18"/>
      <c r="H334" s="18">
        <f t="shared" si="6"/>
        <v>0</v>
      </c>
      <c r="I334" s="1">
        <v>0</v>
      </c>
    </row>
    <row r="335" spans="2:9" hidden="1" x14ac:dyDescent="0.25">
      <c r="B335" s="14"/>
      <c r="C335" s="14" t="s">
        <v>719</v>
      </c>
      <c r="D335" s="45" t="s">
        <v>787</v>
      </c>
      <c r="E335" s="18">
        <v>23700</v>
      </c>
      <c r="F335" s="45"/>
      <c r="G335" s="45"/>
      <c r="H335" s="45">
        <f t="shared" si="6"/>
        <v>0</v>
      </c>
      <c r="I335" s="1">
        <v>0</v>
      </c>
    </row>
    <row r="336" spans="2:9" hidden="1" x14ac:dyDescent="0.25">
      <c r="B336" s="21"/>
      <c r="C336" s="14" t="s">
        <v>719</v>
      </c>
      <c r="D336" s="44" t="s">
        <v>788</v>
      </c>
      <c r="E336" s="18">
        <v>5600</v>
      </c>
      <c r="F336" s="18"/>
      <c r="G336" s="18"/>
      <c r="H336" s="18">
        <f t="shared" si="6"/>
        <v>0</v>
      </c>
      <c r="I336" s="1">
        <v>0</v>
      </c>
    </row>
    <row r="337" spans="2:9" hidden="1" x14ac:dyDescent="0.25">
      <c r="B337" s="14"/>
      <c r="C337" s="14" t="s">
        <v>719</v>
      </c>
      <c r="D337" s="44" t="s">
        <v>789</v>
      </c>
      <c r="E337" s="10"/>
      <c r="F337" s="12"/>
      <c r="G337" s="12"/>
      <c r="H337" s="12">
        <f t="shared" si="6"/>
        <v>0</v>
      </c>
      <c r="I337" s="1">
        <v>0</v>
      </c>
    </row>
    <row r="338" spans="2:9" hidden="1" x14ac:dyDescent="0.25">
      <c r="B338" s="14"/>
      <c r="C338" s="14" t="s">
        <v>719</v>
      </c>
      <c r="D338" s="44" t="s">
        <v>790</v>
      </c>
      <c r="E338" s="10"/>
      <c r="F338" s="12"/>
      <c r="G338" s="12"/>
      <c r="H338" s="12">
        <f t="shared" si="6"/>
        <v>0</v>
      </c>
      <c r="I338" s="1">
        <v>0</v>
      </c>
    </row>
    <row r="339" spans="2:9" hidden="1" x14ac:dyDescent="0.25">
      <c r="B339" s="14"/>
      <c r="C339" s="14" t="s">
        <v>719</v>
      </c>
      <c r="D339" s="44" t="s">
        <v>791</v>
      </c>
      <c r="E339" s="10"/>
      <c r="F339" s="12"/>
      <c r="G339" s="12"/>
      <c r="H339" s="12">
        <f t="shared" si="6"/>
        <v>0</v>
      </c>
      <c r="I339" s="1">
        <v>0</v>
      </c>
    </row>
    <row r="340" spans="2:9" hidden="1" x14ac:dyDescent="0.25">
      <c r="B340" s="14"/>
      <c r="C340" s="14" t="s">
        <v>719</v>
      </c>
      <c r="D340" s="44" t="s">
        <v>792</v>
      </c>
      <c r="E340" s="10"/>
      <c r="F340" s="12"/>
      <c r="G340" s="12"/>
      <c r="H340" s="12">
        <f t="shared" si="6"/>
        <v>0</v>
      </c>
      <c r="I340" s="1">
        <v>0</v>
      </c>
    </row>
    <row r="341" spans="2:9" hidden="1" x14ac:dyDescent="0.25">
      <c r="B341" s="14"/>
      <c r="C341" s="14" t="s">
        <v>719</v>
      </c>
      <c r="D341" s="44" t="s">
        <v>793</v>
      </c>
      <c r="E341" s="10"/>
      <c r="F341" s="12"/>
      <c r="G341" s="12"/>
      <c r="H341" s="12">
        <f t="shared" si="6"/>
        <v>0</v>
      </c>
      <c r="I341" s="1">
        <v>0</v>
      </c>
    </row>
    <row r="342" spans="2:9" hidden="1" x14ac:dyDescent="0.25">
      <c r="B342" s="14"/>
      <c r="C342" s="14" t="s">
        <v>719</v>
      </c>
      <c r="D342" s="44" t="s">
        <v>794</v>
      </c>
      <c r="E342" s="10"/>
      <c r="F342" s="12"/>
      <c r="G342" s="12"/>
      <c r="H342" s="12">
        <f t="shared" ref="H342:H405" si="7">+F342*E342</f>
        <v>0</v>
      </c>
      <c r="I342" s="1">
        <v>0</v>
      </c>
    </row>
    <row r="343" spans="2:9" hidden="1" x14ac:dyDescent="0.25">
      <c r="B343" s="14"/>
      <c r="C343" s="14" t="s">
        <v>719</v>
      </c>
      <c r="D343" s="44" t="s">
        <v>795</v>
      </c>
      <c r="E343" s="10"/>
      <c r="F343" s="12"/>
      <c r="G343" s="12"/>
      <c r="H343" s="12">
        <f t="shared" si="7"/>
        <v>0</v>
      </c>
      <c r="I343" s="1">
        <v>0</v>
      </c>
    </row>
    <row r="344" spans="2:9" hidden="1" x14ac:dyDescent="0.25">
      <c r="B344" s="14"/>
      <c r="C344" s="14" t="s">
        <v>719</v>
      </c>
      <c r="D344" s="44" t="s">
        <v>796</v>
      </c>
      <c r="E344" s="10"/>
      <c r="F344" s="12"/>
      <c r="G344" s="12"/>
      <c r="H344" s="12">
        <f t="shared" si="7"/>
        <v>0</v>
      </c>
      <c r="I344" s="1">
        <v>0</v>
      </c>
    </row>
    <row r="345" spans="2:9" hidden="1" x14ac:dyDescent="0.25">
      <c r="B345" s="14"/>
      <c r="C345" s="14" t="s">
        <v>719</v>
      </c>
      <c r="D345" s="44" t="s">
        <v>797</v>
      </c>
      <c r="E345" s="10"/>
      <c r="F345" s="12"/>
      <c r="G345" s="12"/>
      <c r="H345" s="12">
        <f t="shared" si="7"/>
        <v>0</v>
      </c>
      <c r="I345" s="1">
        <v>0</v>
      </c>
    </row>
    <row r="346" spans="2:9" hidden="1" x14ac:dyDescent="0.25">
      <c r="B346" s="14"/>
      <c r="C346" s="14" t="s">
        <v>719</v>
      </c>
      <c r="D346" s="44" t="s">
        <v>798</v>
      </c>
      <c r="E346" s="10"/>
      <c r="F346" s="12"/>
      <c r="G346" s="12"/>
      <c r="H346" s="12">
        <f t="shared" si="7"/>
        <v>0</v>
      </c>
      <c r="I346" s="1">
        <v>0</v>
      </c>
    </row>
    <row r="347" spans="2:9" hidden="1" x14ac:dyDescent="0.25">
      <c r="B347" s="14"/>
      <c r="C347" s="14" t="s">
        <v>719</v>
      </c>
      <c r="D347" s="44" t="s">
        <v>799</v>
      </c>
      <c r="E347" s="10"/>
      <c r="F347" s="12"/>
      <c r="G347" s="12"/>
      <c r="H347" s="12">
        <f t="shared" si="7"/>
        <v>0</v>
      </c>
      <c r="I347" s="1">
        <v>0</v>
      </c>
    </row>
    <row r="348" spans="2:9" hidden="1" x14ac:dyDescent="0.25">
      <c r="B348" s="14"/>
      <c r="C348" s="14" t="s">
        <v>719</v>
      </c>
      <c r="D348" s="44" t="s">
        <v>800</v>
      </c>
      <c r="E348" s="10"/>
      <c r="F348" s="12"/>
      <c r="G348" s="12"/>
      <c r="H348" s="12">
        <f t="shared" si="7"/>
        <v>0</v>
      </c>
      <c r="I348" s="1">
        <v>0</v>
      </c>
    </row>
    <row r="349" spans="2:9" hidden="1" x14ac:dyDescent="0.25">
      <c r="B349" s="14"/>
      <c r="C349" s="14" t="s">
        <v>719</v>
      </c>
      <c r="D349" s="44" t="s">
        <v>801</v>
      </c>
      <c r="E349" s="10"/>
      <c r="F349" s="12"/>
      <c r="G349" s="12"/>
      <c r="H349" s="12">
        <f t="shared" si="7"/>
        <v>0</v>
      </c>
      <c r="I349" s="1">
        <v>0</v>
      </c>
    </row>
    <row r="350" spans="2:9" hidden="1" x14ac:dyDescent="0.25">
      <c r="B350" s="14"/>
      <c r="C350" s="14" t="s">
        <v>719</v>
      </c>
      <c r="D350" s="44" t="s">
        <v>802</v>
      </c>
      <c r="E350" s="10"/>
      <c r="F350" s="12"/>
      <c r="G350" s="12"/>
      <c r="H350" s="12">
        <f t="shared" si="7"/>
        <v>0</v>
      </c>
      <c r="I350" s="1">
        <v>0</v>
      </c>
    </row>
    <row r="351" spans="2:9" hidden="1" x14ac:dyDescent="0.25">
      <c r="B351" s="14"/>
      <c r="C351" s="14" t="s">
        <v>719</v>
      </c>
      <c r="D351" s="45" t="s">
        <v>803</v>
      </c>
      <c r="E351" s="18"/>
      <c r="F351" s="15"/>
      <c r="G351" s="15"/>
      <c r="H351" s="15">
        <f t="shared" si="7"/>
        <v>0</v>
      </c>
      <c r="I351" s="1">
        <v>0</v>
      </c>
    </row>
    <row r="352" spans="2:9" hidden="1" x14ac:dyDescent="0.25">
      <c r="B352" s="25"/>
      <c r="C352" s="14" t="s">
        <v>719</v>
      </c>
      <c r="D352" s="44" t="s">
        <v>804</v>
      </c>
      <c r="E352" s="18"/>
      <c r="F352" s="15"/>
      <c r="G352" s="15"/>
      <c r="H352" s="15">
        <f t="shared" si="7"/>
        <v>0</v>
      </c>
      <c r="I352" s="1">
        <v>0</v>
      </c>
    </row>
    <row r="353" spans="2:9" hidden="1" x14ac:dyDescent="0.25">
      <c r="B353" s="25"/>
      <c r="C353" s="14" t="s">
        <v>719</v>
      </c>
      <c r="D353" s="44" t="s">
        <v>805</v>
      </c>
      <c r="E353" s="10"/>
      <c r="F353" s="12"/>
      <c r="G353" s="12"/>
      <c r="H353" s="12">
        <f t="shared" si="7"/>
        <v>0</v>
      </c>
      <c r="I353" s="1">
        <v>0</v>
      </c>
    </row>
    <row r="354" spans="2:9" hidden="1" x14ac:dyDescent="0.25">
      <c r="B354" s="25"/>
      <c r="C354" s="14" t="s">
        <v>719</v>
      </c>
      <c r="D354" s="44" t="s">
        <v>806</v>
      </c>
      <c r="E354" s="18"/>
      <c r="F354" s="45"/>
      <c r="G354" s="45"/>
      <c r="H354" s="45">
        <f t="shared" si="7"/>
        <v>0</v>
      </c>
      <c r="I354" s="1">
        <v>0</v>
      </c>
    </row>
    <row r="355" spans="2:9" hidden="1" x14ac:dyDescent="0.25">
      <c r="B355" s="25"/>
      <c r="C355" s="14" t="s">
        <v>719</v>
      </c>
      <c r="D355" s="44" t="s">
        <v>807</v>
      </c>
      <c r="E355" s="10"/>
      <c r="F355" s="12"/>
      <c r="G355" s="12"/>
      <c r="H355" s="12">
        <f t="shared" si="7"/>
        <v>0</v>
      </c>
      <c r="I355" s="1">
        <v>0</v>
      </c>
    </row>
    <row r="356" spans="2:9" hidden="1" x14ac:dyDescent="0.25">
      <c r="B356" s="25"/>
      <c r="C356" s="14" t="s">
        <v>719</v>
      </c>
      <c r="D356" s="44" t="s">
        <v>808</v>
      </c>
      <c r="E356" s="10"/>
      <c r="F356" s="15"/>
      <c r="G356" s="15"/>
      <c r="H356" s="10">
        <f t="shared" si="7"/>
        <v>0</v>
      </c>
      <c r="I356" s="1">
        <v>0</v>
      </c>
    </row>
    <row r="357" spans="2:9" hidden="1" x14ac:dyDescent="0.25">
      <c r="B357" s="25"/>
      <c r="C357" s="14" t="s">
        <v>719</v>
      </c>
      <c r="D357" s="44" t="s">
        <v>809</v>
      </c>
      <c r="E357" s="10"/>
      <c r="F357" s="15"/>
      <c r="G357" s="15"/>
      <c r="H357" s="10">
        <f t="shared" si="7"/>
        <v>0</v>
      </c>
      <c r="I357" s="1">
        <v>0</v>
      </c>
    </row>
    <row r="358" spans="2:9" hidden="1" x14ac:dyDescent="0.25">
      <c r="B358" s="25"/>
      <c r="C358" s="14" t="s">
        <v>719</v>
      </c>
      <c r="D358" s="44" t="s">
        <v>810</v>
      </c>
      <c r="E358" s="10"/>
      <c r="F358" s="15"/>
      <c r="G358" s="15"/>
      <c r="H358" s="10">
        <f t="shared" si="7"/>
        <v>0</v>
      </c>
      <c r="I358" s="1">
        <v>0</v>
      </c>
    </row>
    <row r="359" spans="2:9" hidden="1" x14ac:dyDescent="0.25">
      <c r="B359" s="25"/>
      <c r="C359" s="14" t="s">
        <v>719</v>
      </c>
      <c r="D359" s="44" t="s">
        <v>811</v>
      </c>
      <c r="E359" s="18"/>
      <c r="F359" s="15"/>
      <c r="G359" s="15"/>
      <c r="H359" s="18">
        <f t="shared" si="7"/>
        <v>0</v>
      </c>
      <c r="I359" s="1">
        <v>0</v>
      </c>
    </row>
    <row r="360" spans="2:9" hidden="1" x14ac:dyDescent="0.25">
      <c r="B360" s="25"/>
      <c r="C360" s="14" t="s">
        <v>719</v>
      </c>
      <c r="D360" s="44" t="s">
        <v>812</v>
      </c>
      <c r="E360" s="10"/>
      <c r="F360" s="12"/>
      <c r="G360" s="12"/>
      <c r="H360" s="12">
        <f t="shared" si="7"/>
        <v>0</v>
      </c>
      <c r="I360" s="1">
        <v>0</v>
      </c>
    </row>
    <row r="361" spans="2:9" hidden="1" x14ac:dyDescent="0.25">
      <c r="B361" s="25"/>
      <c r="C361" s="14" t="s">
        <v>719</v>
      </c>
      <c r="D361" s="44" t="s">
        <v>813</v>
      </c>
      <c r="E361" s="10"/>
      <c r="F361" s="12"/>
      <c r="G361" s="12"/>
      <c r="H361" s="12">
        <f t="shared" si="7"/>
        <v>0</v>
      </c>
      <c r="I361" s="1">
        <v>0</v>
      </c>
    </row>
    <row r="362" spans="2:9" hidden="1" x14ac:dyDescent="0.25">
      <c r="B362" s="25"/>
      <c r="C362" s="14" t="s">
        <v>719</v>
      </c>
      <c r="D362" s="44" t="s">
        <v>814</v>
      </c>
      <c r="E362" s="10"/>
      <c r="F362" s="12"/>
      <c r="G362" s="12"/>
      <c r="H362" s="12">
        <f t="shared" si="7"/>
        <v>0</v>
      </c>
      <c r="I362" s="1">
        <v>0</v>
      </c>
    </row>
    <row r="363" spans="2:9" hidden="1" x14ac:dyDescent="0.25">
      <c r="B363" s="25">
        <v>4607121290790</v>
      </c>
      <c r="C363" s="54" t="s">
        <v>440</v>
      </c>
      <c r="D363" s="9" t="s">
        <v>19</v>
      </c>
      <c r="E363" s="10"/>
      <c r="F363" s="12"/>
      <c r="G363" s="12"/>
      <c r="H363" s="12">
        <f t="shared" si="7"/>
        <v>0</v>
      </c>
      <c r="I363" s="1">
        <v>0</v>
      </c>
    </row>
    <row r="364" spans="2:9" hidden="1" x14ac:dyDescent="0.25">
      <c r="B364" s="25">
        <v>4607121290387</v>
      </c>
      <c r="C364" s="54" t="s">
        <v>440</v>
      </c>
      <c r="D364" s="9" t="s">
        <v>20</v>
      </c>
      <c r="E364" s="10">
        <v>11535</v>
      </c>
      <c r="F364" s="11"/>
      <c r="G364" s="11"/>
      <c r="H364" s="12">
        <f t="shared" si="7"/>
        <v>0</v>
      </c>
      <c r="I364" s="1">
        <v>0</v>
      </c>
    </row>
    <row r="365" spans="2:9" hidden="1" x14ac:dyDescent="0.25">
      <c r="B365" s="25">
        <v>4607121290400</v>
      </c>
      <c r="C365" s="54" t="s">
        <v>440</v>
      </c>
      <c r="D365" s="9" t="s">
        <v>21</v>
      </c>
      <c r="E365" s="10"/>
      <c r="F365" s="12"/>
      <c r="G365" s="12"/>
      <c r="H365" s="12">
        <f t="shared" si="7"/>
        <v>0</v>
      </c>
      <c r="I365" s="1">
        <v>0</v>
      </c>
    </row>
    <row r="366" spans="2:9" hidden="1" x14ac:dyDescent="0.25">
      <c r="B366" s="25">
        <v>4607121290417</v>
      </c>
      <c r="C366" s="54" t="s">
        <v>440</v>
      </c>
      <c r="D366" s="9" t="s">
        <v>22</v>
      </c>
      <c r="E366" s="10">
        <v>12070</v>
      </c>
      <c r="F366" s="15"/>
      <c r="G366" s="15"/>
      <c r="H366" s="10">
        <f t="shared" si="7"/>
        <v>0</v>
      </c>
      <c r="I366" s="1">
        <v>0</v>
      </c>
    </row>
    <row r="367" spans="2:9" hidden="1" x14ac:dyDescent="0.25">
      <c r="B367" s="25">
        <v>4607121292541</v>
      </c>
      <c r="C367" s="54" t="s">
        <v>440</v>
      </c>
      <c r="D367" s="9" t="s">
        <v>23</v>
      </c>
      <c r="E367" s="18">
        <v>12100</v>
      </c>
      <c r="F367" s="15"/>
      <c r="G367" s="15"/>
      <c r="H367" s="18">
        <f t="shared" si="7"/>
        <v>0</v>
      </c>
      <c r="I367" s="1">
        <v>0</v>
      </c>
    </row>
    <row r="368" spans="2:9" hidden="1" x14ac:dyDescent="0.25">
      <c r="B368" s="25">
        <v>4607121290882</v>
      </c>
      <c r="C368" s="54" t="s">
        <v>440</v>
      </c>
      <c r="D368" s="17" t="s">
        <v>24</v>
      </c>
      <c r="E368" s="18">
        <v>12100</v>
      </c>
      <c r="F368" s="15"/>
      <c r="G368" s="15"/>
      <c r="H368" s="18">
        <f t="shared" si="7"/>
        <v>0</v>
      </c>
      <c r="I368" s="1">
        <v>0</v>
      </c>
    </row>
    <row r="369" spans="2:9" hidden="1" x14ac:dyDescent="0.25">
      <c r="B369" s="25">
        <v>4607121290899</v>
      </c>
      <c r="C369" s="54" t="s">
        <v>440</v>
      </c>
      <c r="D369" s="9" t="s">
        <v>25</v>
      </c>
      <c r="E369" s="18">
        <v>12100</v>
      </c>
      <c r="F369" s="15"/>
      <c r="G369" s="15"/>
      <c r="H369" s="18">
        <f t="shared" si="7"/>
        <v>0</v>
      </c>
      <c r="I369" s="1">
        <v>0</v>
      </c>
    </row>
    <row r="370" spans="2:9" hidden="1" x14ac:dyDescent="0.25">
      <c r="B370" s="25">
        <v>4607121290448</v>
      </c>
      <c r="C370" s="54" t="s">
        <v>440</v>
      </c>
      <c r="D370" s="9" t="s">
        <v>26</v>
      </c>
      <c r="E370" s="18">
        <v>15600</v>
      </c>
      <c r="F370" s="15"/>
      <c r="G370" s="15"/>
      <c r="H370" s="18">
        <f t="shared" si="7"/>
        <v>0</v>
      </c>
      <c r="I370" s="1">
        <v>0</v>
      </c>
    </row>
    <row r="371" spans="2:9" hidden="1" x14ac:dyDescent="0.25">
      <c r="B371" s="25">
        <v>4607121290431</v>
      </c>
      <c r="C371" s="54" t="s">
        <v>440</v>
      </c>
      <c r="D371" s="9" t="s">
        <v>27</v>
      </c>
      <c r="E371" s="18">
        <v>15600</v>
      </c>
      <c r="F371" s="18"/>
      <c r="G371" s="18"/>
      <c r="H371" s="18">
        <f t="shared" si="7"/>
        <v>0</v>
      </c>
      <c r="I371" s="1">
        <v>0</v>
      </c>
    </row>
    <row r="372" spans="2:9" hidden="1" x14ac:dyDescent="0.25">
      <c r="B372" s="25">
        <v>4607121293241</v>
      </c>
      <c r="C372" s="54" t="s">
        <v>440</v>
      </c>
      <c r="D372" s="9" t="s">
        <v>28</v>
      </c>
      <c r="E372" s="10">
        <v>9887</v>
      </c>
      <c r="F372" s="12"/>
      <c r="G372" s="12"/>
      <c r="H372" s="12">
        <f t="shared" si="7"/>
        <v>0</v>
      </c>
      <c r="I372" s="1">
        <v>0</v>
      </c>
    </row>
    <row r="373" spans="2:9" hidden="1" x14ac:dyDescent="0.25">
      <c r="B373" s="25">
        <v>460712129258</v>
      </c>
      <c r="C373" s="54" t="s">
        <v>440</v>
      </c>
      <c r="D373" s="9" t="s">
        <v>29</v>
      </c>
      <c r="E373" s="10">
        <v>9887</v>
      </c>
      <c r="F373" s="12"/>
      <c r="G373" s="12"/>
      <c r="H373" s="12">
        <f t="shared" si="7"/>
        <v>0</v>
      </c>
      <c r="I373" s="1">
        <v>0</v>
      </c>
    </row>
    <row r="374" spans="2:9" hidden="1" x14ac:dyDescent="0.25">
      <c r="B374" s="25">
        <v>4607121293265</v>
      </c>
      <c r="C374" s="54" t="s">
        <v>440</v>
      </c>
      <c r="D374" s="9" t="s">
        <v>30</v>
      </c>
      <c r="E374" s="10">
        <v>9887</v>
      </c>
      <c r="F374" s="12"/>
      <c r="G374" s="12"/>
      <c r="H374" s="12">
        <f t="shared" si="7"/>
        <v>0</v>
      </c>
      <c r="I374" s="1">
        <v>0</v>
      </c>
    </row>
    <row r="375" spans="2:9" ht="20.25" hidden="1" x14ac:dyDescent="0.3">
      <c r="B375" s="69">
        <v>4607065718558</v>
      </c>
      <c r="C375" s="113" t="s">
        <v>691</v>
      </c>
      <c r="D375" s="115" t="s">
        <v>820</v>
      </c>
      <c r="E375" s="102">
        <v>26000</v>
      </c>
      <c r="F375" s="12"/>
      <c r="G375" s="12"/>
      <c r="H375" s="12">
        <f t="shared" si="7"/>
        <v>0</v>
      </c>
      <c r="I375" s="1">
        <v>0</v>
      </c>
    </row>
    <row r="376" spans="2:9" ht="20.25" hidden="1" x14ac:dyDescent="0.3">
      <c r="B376" s="69">
        <v>4607065718534</v>
      </c>
      <c r="C376" s="113" t="s">
        <v>691</v>
      </c>
      <c r="D376" s="115" t="s">
        <v>821</v>
      </c>
      <c r="E376" s="102">
        <v>26000</v>
      </c>
      <c r="F376" s="99"/>
      <c r="G376" s="70" t="s">
        <v>819</v>
      </c>
      <c r="H376" s="99">
        <f t="shared" si="7"/>
        <v>0</v>
      </c>
      <c r="I376" s="1">
        <v>1</v>
      </c>
    </row>
    <row r="377" spans="2:9" ht="20.25" hidden="1" x14ac:dyDescent="0.3">
      <c r="B377" s="69">
        <v>4607065718589</v>
      </c>
      <c r="C377" s="113" t="s">
        <v>691</v>
      </c>
      <c r="D377" s="115" t="s">
        <v>822</v>
      </c>
      <c r="E377" s="102">
        <v>26000</v>
      </c>
      <c r="F377" s="132"/>
      <c r="G377" s="70" t="s">
        <v>819</v>
      </c>
      <c r="H377" s="132">
        <f t="shared" si="7"/>
        <v>0</v>
      </c>
      <c r="I377" s="1">
        <v>1</v>
      </c>
    </row>
    <row r="378" spans="2:9" ht="20.25" hidden="1" x14ac:dyDescent="0.3">
      <c r="B378" s="69">
        <v>4607065718497</v>
      </c>
      <c r="C378" s="113" t="s">
        <v>691</v>
      </c>
      <c r="D378" s="115" t="s">
        <v>823</v>
      </c>
      <c r="E378" s="102">
        <v>26000</v>
      </c>
      <c r="F378" s="132"/>
      <c r="G378" s="70" t="s">
        <v>819</v>
      </c>
      <c r="H378" s="132">
        <f t="shared" si="7"/>
        <v>0</v>
      </c>
      <c r="I378" s="1">
        <v>1</v>
      </c>
    </row>
    <row r="379" spans="2:9" ht="20.25" hidden="1" x14ac:dyDescent="0.3">
      <c r="B379" s="69"/>
      <c r="C379" s="18" t="s">
        <v>828</v>
      </c>
      <c r="D379" s="116" t="s">
        <v>824</v>
      </c>
      <c r="E379" s="99">
        <v>97500</v>
      </c>
      <c r="F379" s="99"/>
      <c r="G379" s="70" t="s">
        <v>819</v>
      </c>
      <c r="H379" s="132">
        <f t="shared" si="7"/>
        <v>0</v>
      </c>
      <c r="I379" s="1">
        <v>0</v>
      </c>
    </row>
    <row r="380" spans="2:9" ht="20.25" hidden="1" x14ac:dyDescent="0.3">
      <c r="B380" s="69">
        <v>4607021094696</v>
      </c>
      <c r="C380" s="18" t="s">
        <v>828</v>
      </c>
      <c r="D380" s="116" t="s">
        <v>825</v>
      </c>
      <c r="E380" s="99">
        <v>9000</v>
      </c>
      <c r="F380" s="99"/>
      <c r="G380" s="70" t="s">
        <v>819</v>
      </c>
      <c r="H380" s="132">
        <f t="shared" si="7"/>
        <v>0</v>
      </c>
      <c r="I380" s="1">
        <v>0</v>
      </c>
    </row>
    <row r="381" spans="2:9" ht="20.25" hidden="1" x14ac:dyDescent="0.3">
      <c r="B381" s="69">
        <v>4607021094672</v>
      </c>
      <c r="C381" s="18" t="s">
        <v>828</v>
      </c>
      <c r="D381" s="116" t="s">
        <v>826</v>
      </c>
      <c r="E381" s="99">
        <v>10000</v>
      </c>
      <c r="F381" s="99"/>
      <c r="G381" s="70" t="s">
        <v>819</v>
      </c>
      <c r="H381" s="132">
        <f t="shared" si="7"/>
        <v>0</v>
      </c>
      <c r="I381" s="1">
        <v>0</v>
      </c>
    </row>
    <row r="382" spans="2:9" ht="20.25" hidden="1" x14ac:dyDescent="0.3">
      <c r="B382" s="69">
        <v>4620180560086</v>
      </c>
      <c r="C382" s="18" t="s">
        <v>828</v>
      </c>
      <c r="D382" s="116" t="s">
        <v>865</v>
      </c>
      <c r="E382" s="99">
        <v>5500</v>
      </c>
      <c r="F382" s="99"/>
      <c r="G382" s="70" t="s">
        <v>819</v>
      </c>
      <c r="H382" s="132">
        <f t="shared" si="7"/>
        <v>0</v>
      </c>
      <c r="I382" s="1">
        <v>0</v>
      </c>
    </row>
    <row r="383" spans="2:9" ht="18.75" hidden="1" customHeight="1" x14ac:dyDescent="0.3">
      <c r="B383" s="69">
        <v>4607172425035</v>
      </c>
      <c r="C383" s="18" t="s">
        <v>828</v>
      </c>
      <c r="D383" s="116" t="s">
        <v>869</v>
      </c>
      <c r="E383" s="99">
        <v>17500</v>
      </c>
      <c r="F383" s="102"/>
      <c r="G383" s="70" t="s">
        <v>819</v>
      </c>
      <c r="H383" s="132">
        <f t="shared" si="7"/>
        <v>0</v>
      </c>
      <c r="I383" s="1">
        <v>0</v>
      </c>
    </row>
    <row r="384" spans="2:9" ht="20.25" hidden="1" x14ac:dyDescent="0.3">
      <c r="B384" s="69">
        <v>4607021096768</v>
      </c>
      <c r="C384" s="18" t="s">
        <v>828</v>
      </c>
      <c r="D384" s="115" t="s">
        <v>873</v>
      </c>
      <c r="E384" s="99">
        <v>13000</v>
      </c>
      <c r="F384" s="102"/>
      <c r="G384" s="70" t="s">
        <v>819</v>
      </c>
      <c r="H384" s="132">
        <f t="shared" si="7"/>
        <v>0</v>
      </c>
      <c r="I384" s="1">
        <v>0</v>
      </c>
    </row>
    <row r="385" spans="2:9" ht="21.75" hidden="1" customHeight="1" x14ac:dyDescent="0.3">
      <c r="B385" s="69">
        <v>4657812031461</v>
      </c>
      <c r="C385" s="10" t="s">
        <v>828</v>
      </c>
      <c r="D385" s="115" t="s">
        <v>874</v>
      </c>
      <c r="E385" s="99">
        <v>15500</v>
      </c>
      <c r="F385" s="102"/>
      <c r="G385" s="70" t="s">
        <v>819</v>
      </c>
      <c r="H385" s="132">
        <f t="shared" si="7"/>
        <v>0</v>
      </c>
      <c r="I385" s="1">
        <v>1</v>
      </c>
    </row>
    <row r="386" spans="2:9" ht="19.5" hidden="1" customHeight="1" x14ac:dyDescent="0.3">
      <c r="B386" s="69">
        <v>4620180560079</v>
      </c>
      <c r="C386" s="10" t="s">
        <v>828</v>
      </c>
      <c r="D386" s="115" t="s">
        <v>875</v>
      </c>
      <c r="E386" s="99">
        <v>7800</v>
      </c>
      <c r="F386" s="102"/>
      <c r="G386" s="70" t="s">
        <v>819</v>
      </c>
      <c r="H386" s="132">
        <f t="shared" si="7"/>
        <v>0</v>
      </c>
      <c r="I386" s="1">
        <v>1</v>
      </c>
    </row>
    <row r="387" spans="2:9" ht="20.25" hidden="1" x14ac:dyDescent="0.3">
      <c r="B387" s="69">
        <v>4620180560062</v>
      </c>
      <c r="C387" s="10" t="s">
        <v>828</v>
      </c>
      <c r="D387" s="115" t="s">
        <v>876</v>
      </c>
      <c r="E387" s="99">
        <v>13500</v>
      </c>
      <c r="F387" s="102"/>
      <c r="G387" s="70" t="s">
        <v>819</v>
      </c>
      <c r="H387" s="132">
        <f t="shared" si="7"/>
        <v>0</v>
      </c>
      <c r="I387" s="1">
        <v>1</v>
      </c>
    </row>
    <row r="388" spans="2:9" ht="20.25" hidden="1" x14ac:dyDescent="0.3">
      <c r="B388" s="69">
        <v>4640167141688</v>
      </c>
      <c r="C388" s="10" t="s">
        <v>828</v>
      </c>
      <c r="D388" s="115" t="s">
        <v>827</v>
      </c>
      <c r="E388" s="99">
        <v>23500</v>
      </c>
      <c r="F388" s="102"/>
      <c r="G388" s="70" t="s">
        <v>819</v>
      </c>
      <c r="H388" s="132">
        <f t="shared" si="7"/>
        <v>0</v>
      </c>
      <c r="I388" s="1">
        <v>1</v>
      </c>
    </row>
    <row r="389" spans="2:9" ht="20.25" hidden="1" x14ac:dyDescent="0.3">
      <c r="B389" s="69"/>
      <c r="C389" s="18" t="s">
        <v>864</v>
      </c>
      <c r="D389" s="27" t="s">
        <v>829</v>
      </c>
      <c r="E389" s="99">
        <v>65000</v>
      </c>
      <c r="F389" s="15"/>
      <c r="G389" s="15"/>
      <c r="H389" s="12">
        <f t="shared" si="7"/>
        <v>0</v>
      </c>
      <c r="I389" s="1">
        <v>0</v>
      </c>
    </row>
    <row r="390" spans="2:9" ht="20.25" hidden="1" x14ac:dyDescent="0.3">
      <c r="B390" s="69"/>
      <c r="C390" s="18" t="s">
        <v>864</v>
      </c>
      <c r="D390" s="27" t="s">
        <v>830</v>
      </c>
      <c r="E390" s="99">
        <v>65000</v>
      </c>
      <c r="F390" s="45"/>
      <c r="G390" s="45"/>
      <c r="H390" s="14">
        <f t="shared" si="7"/>
        <v>0</v>
      </c>
      <c r="I390" s="1">
        <v>0</v>
      </c>
    </row>
    <row r="391" spans="2:9" ht="20.25" hidden="1" x14ac:dyDescent="0.3">
      <c r="B391" s="69">
        <v>4601063009342</v>
      </c>
      <c r="C391" s="18" t="s">
        <v>864</v>
      </c>
      <c r="D391" s="27" t="s">
        <v>831</v>
      </c>
      <c r="E391" s="99">
        <v>13500</v>
      </c>
      <c r="F391" s="15"/>
      <c r="G391" s="15"/>
      <c r="H391" s="12">
        <f t="shared" si="7"/>
        <v>0</v>
      </c>
      <c r="I391" s="1">
        <v>0</v>
      </c>
    </row>
    <row r="392" spans="2:9" ht="20.25" hidden="1" x14ac:dyDescent="0.3">
      <c r="B392" s="69"/>
      <c r="C392" s="18" t="s">
        <v>864</v>
      </c>
      <c r="D392" s="27" t="s">
        <v>832</v>
      </c>
      <c r="E392" s="99">
        <v>65000</v>
      </c>
      <c r="F392" s="15"/>
      <c r="G392" s="15"/>
      <c r="H392" s="12">
        <f t="shared" si="7"/>
        <v>0</v>
      </c>
      <c r="I392" s="1">
        <v>0</v>
      </c>
    </row>
    <row r="393" spans="2:9" ht="20.25" hidden="1" x14ac:dyDescent="0.3">
      <c r="B393" s="69"/>
      <c r="C393" s="18" t="s">
        <v>864</v>
      </c>
      <c r="D393" s="27" t="s">
        <v>833</v>
      </c>
      <c r="E393" s="99">
        <v>65000</v>
      </c>
      <c r="F393" s="15"/>
      <c r="G393" s="15"/>
      <c r="H393" s="12">
        <f t="shared" si="7"/>
        <v>0</v>
      </c>
      <c r="I393" s="1">
        <v>0</v>
      </c>
    </row>
    <row r="394" spans="2:9" ht="20.25" hidden="1" x14ac:dyDescent="0.3">
      <c r="B394" s="69">
        <v>4601063008345</v>
      </c>
      <c r="C394" s="18" t="s">
        <v>864</v>
      </c>
      <c r="D394" s="27" t="s">
        <v>834</v>
      </c>
      <c r="E394" s="99">
        <v>13500</v>
      </c>
      <c r="F394" s="10"/>
      <c r="G394" s="10"/>
      <c r="H394" s="12">
        <f t="shared" si="7"/>
        <v>0</v>
      </c>
      <c r="I394" s="1">
        <v>0</v>
      </c>
    </row>
    <row r="395" spans="2:9" ht="20.25" hidden="1" x14ac:dyDescent="0.3">
      <c r="B395" s="69"/>
      <c r="C395" s="18" t="s">
        <v>864</v>
      </c>
      <c r="D395" s="27" t="s">
        <v>835</v>
      </c>
      <c r="E395" s="99">
        <v>65000</v>
      </c>
      <c r="F395" s="15"/>
      <c r="G395" s="15"/>
      <c r="H395" s="12">
        <f t="shared" si="7"/>
        <v>0</v>
      </c>
      <c r="I395" s="1">
        <v>0</v>
      </c>
    </row>
    <row r="396" spans="2:9" ht="20.25" hidden="1" x14ac:dyDescent="0.3">
      <c r="B396" s="69"/>
      <c r="C396" s="18" t="s">
        <v>864</v>
      </c>
      <c r="D396" s="27" t="s">
        <v>836</v>
      </c>
      <c r="E396" s="99">
        <v>41000</v>
      </c>
      <c r="F396" s="15"/>
      <c r="G396" s="15"/>
      <c r="H396" s="12">
        <f t="shared" si="7"/>
        <v>0</v>
      </c>
      <c r="I396" s="1">
        <v>0</v>
      </c>
    </row>
    <row r="397" spans="2:9" ht="20.25" hidden="1" x14ac:dyDescent="0.3">
      <c r="B397" s="69"/>
      <c r="C397" s="18" t="s">
        <v>864</v>
      </c>
      <c r="D397" s="27" t="s">
        <v>837</v>
      </c>
      <c r="E397" s="99">
        <v>49000</v>
      </c>
      <c r="F397" s="15"/>
      <c r="G397" s="15"/>
      <c r="H397" s="12">
        <f t="shared" si="7"/>
        <v>0</v>
      </c>
      <c r="I397" s="1">
        <v>0</v>
      </c>
    </row>
    <row r="398" spans="2:9" ht="20.25" hidden="1" x14ac:dyDescent="0.3">
      <c r="B398" s="69"/>
      <c r="C398" s="18" t="s">
        <v>864</v>
      </c>
      <c r="D398" s="27" t="s">
        <v>838</v>
      </c>
      <c r="E398" s="99">
        <v>45000</v>
      </c>
      <c r="F398" s="15"/>
      <c r="G398" s="15"/>
      <c r="H398" s="12">
        <f t="shared" si="7"/>
        <v>0</v>
      </c>
      <c r="I398" s="1">
        <v>0</v>
      </c>
    </row>
    <row r="399" spans="2:9" ht="20.25" hidden="1" x14ac:dyDescent="0.3">
      <c r="B399" s="69"/>
      <c r="C399" s="18" t="s">
        <v>864</v>
      </c>
      <c r="D399" s="27" t="s">
        <v>839</v>
      </c>
      <c r="E399" s="99">
        <v>25000</v>
      </c>
      <c r="F399" s="15"/>
      <c r="G399" s="15"/>
      <c r="H399" s="12">
        <f t="shared" si="7"/>
        <v>0</v>
      </c>
      <c r="I399" s="1">
        <v>0</v>
      </c>
    </row>
    <row r="400" spans="2:9" ht="20.25" hidden="1" x14ac:dyDescent="0.3">
      <c r="B400" s="69">
        <v>4601063003340</v>
      </c>
      <c r="C400" s="18" t="s">
        <v>864</v>
      </c>
      <c r="D400" s="27" t="s">
        <v>840</v>
      </c>
      <c r="E400" s="99">
        <v>10000</v>
      </c>
      <c r="F400" s="15"/>
      <c r="G400" s="15"/>
      <c r="H400" s="12">
        <f t="shared" si="7"/>
        <v>0</v>
      </c>
      <c r="I400" s="1">
        <v>0</v>
      </c>
    </row>
    <row r="401" spans="2:9" ht="20.25" hidden="1" x14ac:dyDescent="0.3">
      <c r="B401" s="69"/>
      <c r="C401" s="18" t="s">
        <v>864</v>
      </c>
      <c r="D401" s="27" t="s">
        <v>841</v>
      </c>
      <c r="E401" s="99">
        <v>45000</v>
      </c>
      <c r="F401" s="15"/>
      <c r="G401" s="15"/>
      <c r="H401" s="12">
        <f t="shared" si="7"/>
        <v>0</v>
      </c>
      <c r="I401" s="1">
        <v>0</v>
      </c>
    </row>
    <row r="402" spans="2:9" ht="20.25" hidden="1" x14ac:dyDescent="0.3">
      <c r="B402" s="69">
        <v>4601063494513</v>
      </c>
      <c r="C402" s="18" t="s">
        <v>864</v>
      </c>
      <c r="D402" s="27" t="s">
        <v>842</v>
      </c>
      <c r="E402" s="99">
        <v>13000</v>
      </c>
      <c r="F402" s="15"/>
      <c r="G402" s="15"/>
      <c r="H402" s="12">
        <f t="shared" si="7"/>
        <v>0</v>
      </c>
      <c r="I402" s="1">
        <v>0</v>
      </c>
    </row>
    <row r="403" spans="2:9" ht="20.25" hidden="1" x14ac:dyDescent="0.3">
      <c r="B403" s="69"/>
      <c r="C403" s="18" t="s">
        <v>864</v>
      </c>
      <c r="D403" s="27" t="s">
        <v>843</v>
      </c>
      <c r="E403" s="99">
        <v>50000</v>
      </c>
      <c r="F403" s="15"/>
      <c r="G403" s="15"/>
      <c r="H403" s="12">
        <f t="shared" si="7"/>
        <v>0</v>
      </c>
      <c r="I403" s="1">
        <v>0</v>
      </c>
    </row>
    <row r="404" spans="2:9" ht="20.25" hidden="1" x14ac:dyDescent="0.3">
      <c r="B404" s="69">
        <v>4601063493745</v>
      </c>
      <c r="C404" s="18" t="s">
        <v>864</v>
      </c>
      <c r="D404" s="27" t="s">
        <v>844</v>
      </c>
      <c r="E404" s="99">
        <v>13000</v>
      </c>
      <c r="F404" s="15"/>
      <c r="G404" s="15"/>
      <c r="H404" s="12">
        <f t="shared" si="7"/>
        <v>0</v>
      </c>
      <c r="I404" s="1">
        <v>0</v>
      </c>
    </row>
    <row r="405" spans="2:9" ht="20.25" hidden="1" x14ac:dyDescent="0.3">
      <c r="B405" s="69"/>
      <c r="C405" s="18" t="s">
        <v>864</v>
      </c>
      <c r="D405" s="27" t="s">
        <v>845</v>
      </c>
      <c r="E405" s="99">
        <v>52000</v>
      </c>
      <c r="F405" s="10"/>
      <c r="G405" s="10"/>
      <c r="H405" s="12">
        <f t="shared" si="7"/>
        <v>0</v>
      </c>
      <c r="I405" s="1">
        <v>0</v>
      </c>
    </row>
    <row r="406" spans="2:9" ht="20.25" hidden="1" x14ac:dyDescent="0.3">
      <c r="B406" s="69">
        <v>4601063494551</v>
      </c>
      <c r="C406" s="18" t="s">
        <v>864</v>
      </c>
      <c r="D406" s="27" t="s">
        <v>846</v>
      </c>
      <c r="E406" s="99">
        <v>14200</v>
      </c>
      <c r="F406" s="10"/>
      <c r="G406" s="10"/>
      <c r="H406" s="12">
        <f t="shared" ref="H406:H471" si="8">+F406*E406</f>
        <v>0</v>
      </c>
      <c r="I406" s="1">
        <v>0</v>
      </c>
    </row>
    <row r="407" spans="2:9" ht="20.25" hidden="1" x14ac:dyDescent="0.3">
      <c r="B407" s="69">
        <v>4601063494841</v>
      </c>
      <c r="C407" s="18" t="s">
        <v>864</v>
      </c>
      <c r="D407" s="27" t="s">
        <v>847</v>
      </c>
      <c r="E407" s="99">
        <v>14200</v>
      </c>
      <c r="F407" s="10"/>
      <c r="G407" s="10"/>
      <c r="H407" s="12">
        <f t="shared" si="8"/>
        <v>0</v>
      </c>
      <c r="I407" s="1">
        <v>0</v>
      </c>
    </row>
    <row r="408" spans="2:9" ht="20.25" hidden="1" x14ac:dyDescent="0.3">
      <c r="B408" s="69">
        <v>4601063494902</v>
      </c>
      <c r="C408" s="18" t="s">
        <v>864</v>
      </c>
      <c r="D408" s="27" t="s">
        <v>868</v>
      </c>
      <c r="E408" s="99">
        <v>14200</v>
      </c>
      <c r="F408" s="15"/>
      <c r="G408" s="15"/>
      <c r="H408" s="12">
        <f t="shared" si="8"/>
        <v>0</v>
      </c>
      <c r="I408" s="1">
        <v>0</v>
      </c>
    </row>
    <row r="409" spans="2:9" ht="20.25" hidden="1" x14ac:dyDescent="0.3">
      <c r="B409" s="69">
        <v>4601063494544</v>
      </c>
      <c r="C409" s="18" t="s">
        <v>864</v>
      </c>
      <c r="D409" s="27" t="s">
        <v>848</v>
      </c>
      <c r="E409" s="99">
        <v>14200</v>
      </c>
      <c r="F409" s="15"/>
      <c r="G409" s="15"/>
      <c r="H409" s="12">
        <f t="shared" si="8"/>
        <v>0</v>
      </c>
      <c r="I409" s="1">
        <v>0</v>
      </c>
    </row>
    <row r="410" spans="2:9" ht="20.25" hidden="1" x14ac:dyDescent="0.3">
      <c r="B410" s="69">
        <v>4601063494742</v>
      </c>
      <c r="C410" s="18" t="s">
        <v>864</v>
      </c>
      <c r="D410" s="27" t="s">
        <v>866</v>
      </c>
      <c r="E410" s="99">
        <v>14200</v>
      </c>
      <c r="F410" s="45"/>
      <c r="G410" s="45"/>
      <c r="H410" s="14">
        <f t="shared" si="8"/>
        <v>0</v>
      </c>
      <c r="I410" s="1">
        <v>0</v>
      </c>
    </row>
    <row r="411" spans="2:9" ht="20.25" hidden="1" x14ac:dyDescent="0.3">
      <c r="B411" s="69">
        <v>4601063493295</v>
      </c>
      <c r="C411" s="18" t="s">
        <v>864</v>
      </c>
      <c r="D411" s="27" t="s">
        <v>849</v>
      </c>
      <c r="E411" s="99">
        <v>17500</v>
      </c>
      <c r="F411" s="15"/>
      <c r="G411" s="15"/>
      <c r="H411" s="12">
        <f t="shared" si="8"/>
        <v>0</v>
      </c>
      <c r="I411" s="1">
        <v>0</v>
      </c>
    </row>
    <row r="412" spans="2:9" ht="20.25" hidden="1" x14ac:dyDescent="0.3">
      <c r="B412" s="69"/>
      <c r="C412" s="18" t="s">
        <v>864</v>
      </c>
      <c r="D412" s="27" t="s">
        <v>850</v>
      </c>
      <c r="E412" s="99">
        <v>53000</v>
      </c>
      <c r="F412" s="14"/>
      <c r="G412" s="14"/>
      <c r="H412" s="14">
        <f t="shared" si="8"/>
        <v>0</v>
      </c>
      <c r="I412" s="1">
        <v>0</v>
      </c>
    </row>
    <row r="413" spans="2:9" ht="20.25" hidden="1" x14ac:dyDescent="0.3">
      <c r="B413" s="69">
        <v>4601063493677</v>
      </c>
      <c r="C413" s="18" t="s">
        <v>864</v>
      </c>
      <c r="D413" s="27" t="s">
        <v>867</v>
      </c>
      <c r="E413" s="99">
        <v>14200</v>
      </c>
      <c r="F413" s="45"/>
      <c r="G413" s="45"/>
      <c r="H413" s="45">
        <f t="shared" si="8"/>
        <v>0</v>
      </c>
      <c r="I413" s="1">
        <v>0</v>
      </c>
    </row>
    <row r="414" spans="2:9" ht="20.25" hidden="1" x14ac:dyDescent="0.3">
      <c r="B414" s="69">
        <v>4601063494889</v>
      </c>
      <c r="C414" s="18" t="s">
        <v>864</v>
      </c>
      <c r="D414" s="27" t="s">
        <v>851</v>
      </c>
      <c r="E414" s="99">
        <v>14200</v>
      </c>
      <c r="F414" s="45"/>
      <c r="G414" s="45"/>
      <c r="H414" s="14">
        <f t="shared" si="8"/>
        <v>0</v>
      </c>
      <c r="I414" s="1">
        <v>0</v>
      </c>
    </row>
    <row r="415" spans="2:9" ht="20.25" hidden="1" x14ac:dyDescent="0.3">
      <c r="B415" s="69">
        <v>4601063493301</v>
      </c>
      <c r="C415" s="18" t="s">
        <v>864</v>
      </c>
      <c r="D415" s="27" t="s">
        <v>852</v>
      </c>
      <c r="E415" s="99">
        <v>17500</v>
      </c>
      <c r="F415" s="45"/>
      <c r="G415" s="45"/>
      <c r="H415" s="45">
        <f t="shared" si="8"/>
        <v>0</v>
      </c>
      <c r="I415" s="1">
        <v>0</v>
      </c>
    </row>
    <row r="416" spans="2:9" ht="20.25" hidden="1" x14ac:dyDescent="0.3">
      <c r="B416" s="69"/>
      <c r="C416" s="18" t="s">
        <v>864</v>
      </c>
      <c r="D416" s="27" t="s">
        <v>853</v>
      </c>
      <c r="E416" s="99">
        <v>38000</v>
      </c>
      <c r="F416" s="45"/>
      <c r="G416" s="45"/>
      <c r="H416" s="45">
        <f t="shared" si="8"/>
        <v>0</v>
      </c>
      <c r="I416" s="1">
        <v>0</v>
      </c>
    </row>
    <row r="417" spans="2:9" ht="20.25" hidden="1" x14ac:dyDescent="0.3">
      <c r="B417" s="69">
        <v>4601063494896</v>
      </c>
      <c r="C417" s="18" t="s">
        <v>864</v>
      </c>
      <c r="D417" s="27" t="s">
        <v>854</v>
      </c>
      <c r="E417" s="99">
        <v>14200</v>
      </c>
      <c r="F417" s="45"/>
      <c r="G417" s="45"/>
      <c r="H417" s="14">
        <f t="shared" si="8"/>
        <v>0</v>
      </c>
      <c r="I417" s="1">
        <v>0</v>
      </c>
    </row>
    <row r="418" spans="2:9" ht="20.25" hidden="1" x14ac:dyDescent="0.3">
      <c r="B418" s="69">
        <v>4601063493622</v>
      </c>
      <c r="C418" s="18" t="s">
        <v>864</v>
      </c>
      <c r="D418" s="27" t="s">
        <v>855</v>
      </c>
      <c r="E418" s="99">
        <v>15000</v>
      </c>
      <c r="F418" s="45"/>
      <c r="G418" s="45"/>
      <c r="H418" s="45">
        <f t="shared" si="8"/>
        <v>0</v>
      </c>
      <c r="I418" s="1">
        <v>0</v>
      </c>
    </row>
    <row r="419" spans="2:9" ht="20.25" hidden="1" x14ac:dyDescent="0.3">
      <c r="B419" s="69">
        <v>4601063494858</v>
      </c>
      <c r="C419" s="18" t="s">
        <v>864</v>
      </c>
      <c r="D419" s="27" t="s">
        <v>856</v>
      </c>
      <c r="E419" s="99">
        <v>14200</v>
      </c>
      <c r="F419" s="20"/>
      <c r="G419" s="20"/>
      <c r="H419" s="10">
        <f t="shared" si="8"/>
        <v>0</v>
      </c>
      <c r="I419" s="1">
        <v>0</v>
      </c>
    </row>
    <row r="420" spans="2:9" ht="20.25" hidden="1" x14ac:dyDescent="0.3">
      <c r="B420" s="69">
        <v>4601063494438</v>
      </c>
      <c r="C420" s="18" t="s">
        <v>864</v>
      </c>
      <c r="D420" s="27" t="s">
        <v>857</v>
      </c>
      <c r="E420" s="99">
        <v>14200</v>
      </c>
      <c r="F420" s="15"/>
      <c r="G420" s="15"/>
      <c r="H420" s="12">
        <f t="shared" si="8"/>
        <v>0</v>
      </c>
      <c r="I420" s="1">
        <v>0</v>
      </c>
    </row>
    <row r="421" spans="2:9" ht="20.25" hidden="1" x14ac:dyDescent="0.3">
      <c r="B421" s="69">
        <v>4601063493646</v>
      </c>
      <c r="C421" s="18" t="s">
        <v>864</v>
      </c>
      <c r="D421" s="27" t="s">
        <v>858</v>
      </c>
      <c r="E421" s="99">
        <v>14200</v>
      </c>
      <c r="F421" s="15"/>
      <c r="G421" s="15"/>
      <c r="H421" s="12">
        <f t="shared" si="8"/>
        <v>0</v>
      </c>
      <c r="I421" s="1">
        <v>0</v>
      </c>
    </row>
    <row r="422" spans="2:9" ht="20.25" hidden="1" x14ac:dyDescent="0.3">
      <c r="B422" s="69">
        <v>4601063493639</v>
      </c>
      <c r="C422" s="18" t="s">
        <v>864</v>
      </c>
      <c r="D422" s="27" t="s">
        <v>859</v>
      </c>
      <c r="E422" s="99">
        <v>14200</v>
      </c>
      <c r="F422" s="10"/>
      <c r="G422" s="10"/>
      <c r="H422" s="12">
        <f t="shared" si="8"/>
        <v>0</v>
      </c>
      <c r="I422" s="1">
        <v>0</v>
      </c>
    </row>
    <row r="423" spans="2:9" ht="20.25" hidden="1" x14ac:dyDescent="0.3">
      <c r="B423" s="69">
        <v>4601063494575</v>
      </c>
      <c r="C423" s="18" t="s">
        <v>864</v>
      </c>
      <c r="D423" s="27" t="s">
        <v>860</v>
      </c>
      <c r="E423" s="99">
        <v>10000</v>
      </c>
      <c r="F423" s="10"/>
      <c r="G423" s="10"/>
      <c r="H423" s="12">
        <f t="shared" si="8"/>
        <v>0</v>
      </c>
      <c r="I423" s="1">
        <v>0</v>
      </c>
    </row>
    <row r="424" spans="2:9" ht="20.25" hidden="1" x14ac:dyDescent="0.3">
      <c r="B424" s="69">
        <v>4601063493837</v>
      </c>
      <c r="C424" s="18" t="s">
        <v>864</v>
      </c>
      <c r="D424" s="27" t="s">
        <v>861</v>
      </c>
      <c r="E424" s="99">
        <v>5200</v>
      </c>
      <c r="F424" s="15"/>
      <c r="G424" s="15"/>
      <c r="H424" s="12">
        <f t="shared" si="8"/>
        <v>0</v>
      </c>
      <c r="I424" s="1">
        <v>0</v>
      </c>
    </row>
    <row r="425" spans="2:9" ht="20.25" hidden="1" x14ac:dyDescent="0.3">
      <c r="B425" s="69">
        <v>4601063493844</v>
      </c>
      <c r="C425" s="18" t="s">
        <v>864</v>
      </c>
      <c r="D425" s="27" t="s">
        <v>862</v>
      </c>
      <c r="E425" s="99">
        <v>5200</v>
      </c>
      <c r="F425" s="15"/>
      <c r="G425" s="15"/>
      <c r="H425" s="12">
        <f t="shared" si="8"/>
        <v>0</v>
      </c>
      <c r="I425" s="1">
        <v>0</v>
      </c>
    </row>
    <row r="426" spans="2:9" ht="20.25" hidden="1" x14ac:dyDescent="0.3">
      <c r="B426" s="69">
        <v>4601063494568</v>
      </c>
      <c r="C426" s="18" t="s">
        <v>864</v>
      </c>
      <c r="D426" s="27" t="s">
        <v>863</v>
      </c>
      <c r="E426" s="99">
        <v>10000</v>
      </c>
      <c r="F426" s="15"/>
      <c r="G426" s="15"/>
      <c r="H426" s="12">
        <f t="shared" si="8"/>
        <v>0</v>
      </c>
      <c r="I426" s="1">
        <v>0</v>
      </c>
    </row>
    <row r="427" spans="2:9" hidden="1" x14ac:dyDescent="0.25">
      <c r="B427" s="14"/>
      <c r="C427" s="53" t="s">
        <v>441</v>
      </c>
      <c r="D427" s="26" t="s">
        <v>31</v>
      </c>
      <c r="E427" s="10">
        <v>53650</v>
      </c>
      <c r="F427" s="11"/>
      <c r="G427" s="11"/>
      <c r="H427" s="12">
        <f t="shared" si="8"/>
        <v>0</v>
      </c>
      <c r="I427" s="1">
        <v>0</v>
      </c>
    </row>
    <row r="428" spans="2:9" hidden="1" x14ac:dyDescent="0.25">
      <c r="B428" s="14"/>
      <c r="C428" s="53" t="s">
        <v>441</v>
      </c>
      <c r="D428" s="26" t="s">
        <v>32</v>
      </c>
      <c r="E428" s="10">
        <v>71121</v>
      </c>
      <c r="F428" s="11"/>
      <c r="G428" s="11"/>
      <c r="H428" s="12">
        <f t="shared" si="8"/>
        <v>0</v>
      </c>
      <c r="I428" s="1">
        <v>0</v>
      </c>
    </row>
    <row r="429" spans="2:9" hidden="1" x14ac:dyDescent="0.25">
      <c r="B429" s="14"/>
      <c r="C429" s="53" t="s">
        <v>441</v>
      </c>
      <c r="D429" s="26" t="s">
        <v>33</v>
      </c>
      <c r="E429" s="10">
        <v>53341</v>
      </c>
      <c r="F429" s="11"/>
      <c r="G429" s="11"/>
      <c r="H429" s="12">
        <f t="shared" si="8"/>
        <v>0</v>
      </c>
      <c r="I429" s="1">
        <v>0</v>
      </c>
    </row>
    <row r="430" spans="2:9" hidden="1" x14ac:dyDescent="0.25">
      <c r="B430" s="14"/>
      <c r="C430" s="53" t="s">
        <v>441</v>
      </c>
      <c r="D430" s="26" t="s">
        <v>34</v>
      </c>
      <c r="E430" s="10">
        <v>53341</v>
      </c>
      <c r="F430" s="11"/>
      <c r="G430" s="11"/>
      <c r="H430" s="12">
        <f t="shared" si="8"/>
        <v>0</v>
      </c>
      <c r="I430" s="1">
        <v>0</v>
      </c>
    </row>
    <row r="431" spans="2:9" hidden="1" x14ac:dyDescent="0.25">
      <c r="B431" s="14"/>
      <c r="C431" s="53" t="s">
        <v>441</v>
      </c>
      <c r="D431" s="26" t="s">
        <v>35</v>
      </c>
      <c r="E431" s="10">
        <v>53341</v>
      </c>
      <c r="F431" s="11"/>
      <c r="G431" s="11"/>
      <c r="H431" s="12">
        <f t="shared" si="8"/>
        <v>0</v>
      </c>
      <c r="I431" s="1">
        <v>0</v>
      </c>
    </row>
    <row r="432" spans="2:9" hidden="1" x14ac:dyDescent="0.25">
      <c r="B432" s="14"/>
      <c r="C432" s="53" t="s">
        <v>441</v>
      </c>
      <c r="D432" s="26" t="s">
        <v>36</v>
      </c>
      <c r="E432" s="10">
        <v>53341</v>
      </c>
      <c r="F432" s="11"/>
      <c r="G432" s="11"/>
      <c r="H432" s="12">
        <f t="shared" si="8"/>
        <v>0</v>
      </c>
      <c r="I432" s="1">
        <v>0</v>
      </c>
    </row>
    <row r="433" spans="2:9" hidden="1" x14ac:dyDescent="0.25">
      <c r="B433" s="14"/>
      <c r="C433" s="53" t="s">
        <v>441</v>
      </c>
      <c r="D433" s="26" t="s">
        <v>37</v>
      </c>
      <c r="E433" s="10"/>
      <c r="F433" s="12"/>
      <c r="G433" s="12"/>
      <c r="H433" s="12">
        <f t="shared" si="8"/>
        <v>0</v>
      </c>
      <c r="I433" s="1">
        <v>0</v>
      </c>
    </row>
    <row r="434" spans="2:9" hidden="1" x14ac:dyDescent="0.25">
      <c r="B434" s="14"/>
      <c r="C434" s="53" t="s">
        <v>441</v>
      </c>
      <c r="D434" s="26" t="s">
        <v>38</v>
      </c>
      <c r="E434" s="10">
        <v>44711</v>
      </c>
      <c r="F434" s="11"/>
      <c r="G434" s="11"/>
      <c r="H434" s="12">
        <f t="shared" si="8"/>
        <v>0</v>
      </c>
      <c r="I434" s="1">
        <v>0</v>
      </c>
    </row>
    <row r="435" spans="2:9" hidden="1" x14ac:dyDescent="0.25">
      <c r="B435" s="14"/>
      <c r="C435" s="53" t="s">
        <v>441</v>
      </c>
      <c r="D435" s="26" t="s">
        <v>39</v>
      </c>
      <c r="E435" s="10">
        <v>43324</v>
      </c>
      <c r="F435" s="11"/>
      <c r="G435" s="11"/>
      <c r="H435" s="12">
        <f t="shared" si="8"/>
        <v>0</v>
      </c>
      <c r="I435" s="1">
        <v>0</v>
      </c>
    </row>
    <row r="436" spans="2:9" hidden="1" x14ac:dyDescent="0.25">
      <c r="B436" s="14"/>
      <c r="C436" s="53" t="s">
        <v>441</v>
      </c>
      <c r="D436" s="26" t="s">
        <v>40</v>
      </c>
      <c r="E436" s="10">
        <v>41194</v>
      </c>
      <c r="F436" s="12"/>
      <c r="G436" s="12"/>
      <c r="H436" s="12">
        <f t="shared" si="8"/>
        <v>0</v>
      </c>
      <c r="I436" s="1">
        <v>0</v>
      </c>
    </row>
    <row r="437" spans="2:9" hidden="1" x14ac:dyDescent="0.25">
      <c r="B437" s="14"/>
      <c r="C437" s="53" t="s">
        <v>441</v>
      </c>
      <c r="D437" s="26" t="s">
        <v>41</v>
      </c>
      <c r="E437" s="10">
        <v>41194</v>
      </c>
      <c r="F437" s="12"/>
      <c r="G437" s="12"/>
      <c r="H437" s="12">
        <f t="shared" si="8"/>
        <v>0</v>
      </c>
      <c r="I437" s="1">
        <v>0</v>
      </c>
    </row>
    <row r="438" spans="2:9" hidden="1" x14ac:dyDescent="0.25">
      <c r="B438" s="14"/>
      <c r="C438" s="53" t="s">
        <v>441</v>
      </c>
      <c r="D438" s="26" t="s">
        <v>42</v>
      </c>
      <c r="E438" s="10">
        <v>41904</v>
      </c>
      <c r="F438" s="11"/>
      <c r="G438" s="11"/>
      <c r="H438" s="12">
        <f t="shared" si="8"/>
        <v>0</v>
      </c>
      <c r="I438" s="1">
        <v>0</v>
      </c>
    </row>
    <row r="439" spans="2:9" hidden="1" x14ac:dyDescent="0.25">
      <c r="B439" s="14"/>
      <c r="C439" s="53" t="s">
        <v>441</v>
      </c>
      <c r="D439" s="26" t="s">
        <v>43</v>
      </c>
      <c r="E439" s="10">
        <v>41194</v>
      </c>
      <c r="F439" s="12"/>
      <c r="G439" s="12"/>
      <c r="H439" s="12">
        <f t="shared" si="8"/>
        <v>0</v>
      </c>
      <c r="I439" s="1">
        <v>0</v>
      </c>
    </row>
    <row r="440" spans="2:9" hidden="1" x14ac:dyDescent="0.25">
      <c r="B440" s="14"/>
      <c r="C440" s="53" t="s">
        <v>441</v>
      </c>
      <c r="D440" s="26" t="s">
        <v>44</v>
      </c>
      <c r="E440" s="10">
        <v>43324</v>
      </c>
      <c r="F440" s="11"/>
      <c r="G440" s="11"/>
      <c r="H440" s="12">
        <f t="shared" si="8"/>
        <v>0</v>
      </c>
      <c r="I440" s="1">
        <v>0</v>
      </c>
    </row>
    <row r="441" spans="2:9" hidden="1" x14ac:dyDescent="0.25">
      <c r="B441" s="14"/>
      <c r="C441" s="53" t="s">
        <v>441</v>
      </c>
      <c r="D441" s="26" t="s">
        <v>45</v>
      </c>
      <c r="E441" s="10">
        <v>99100</v>
      </c>
      <c r="F441" s="11"/>
      <c r="G441" s="11"/>
      <c r="H441" s="12">
        <f t="shared" si="8"/>
        <v>0</v>
      </c>
      <c r="I441" s="1">
        <v>0</v>
      </c>
    </row>
    <row r="442" spans="2:9" hidden="1" x14ac:dyDescent="0.25">
      <c r="B442" s="14"/>
      <c r="C442" s="53" t="s">
        <v>441</v>
      </c>
      <c r="D442" s="26" t="s">
        <v>46</v>
      </c>
      <c r="E442" s="10">
        <v>99100</v>
      </c>
      <c r="F442" s="11"/>
      <c r="G442" s="11"/>
      <c r="H442" s="12">
        <f t="shared" si="8"/>
        <v>0</v>
      </c>
      <c r="I442" s="1">
        <v>0</v>
      </c>
    </row>
    <row r="443" spans="2:9" hidden="1" x14ac:dyDescent="0.25">
      <c r="B443" s="14"/>
      <c r="C443" s="53" t="s">
        <v>441</v>
      </c>
      <c r="D443" s="26" t="s">
        <v>47</v>
      </c>
      <c r="E443" s="10">
        <v>78025</v>
      </c>
      <c r="F443" s="11"/>
      <c r="G443" s="11"/>
      <c r="H443" s="12">
        <f t="shared" si="8"/>
        <v>0</v>
      </c>
      <c r="I443" s="1">
        <v>0</v>
      </c>
    </row>
    <row r="444" spans="2:9" hidden="1" x14ac:dyDescent="0.25">
      <c r="B444" s="14"/>
      <c r="C444" s="53" t="s">
        <v>441</v>
      </c>
      <c r="D444" s="26" t="s">
        <v>459</v>
      </c>
      <c r="E444" s="10">
        <v>99100</v>
      </c>
      <c r="F444" s="11"/>
      <c r="G444" s="11"/>
      <c r="H444" s="12">
        <f t="shared" si="8"/>
        <v>0</v>
      </c>
      <c r="I444" s="1">
        <v>0</v>
      </c>
    </row>
    <row r="445" spans="2:9" hidden="1" x14ac:dyDescent="0.25">
      <c r="B445" s="14"/>
      <c r="C445" s="53" t="s">
        <v>441</v>
      </c>
      <c r="D445" s="26" t="s">
        <v>460</v>
      </c>
      <c r="E445" s="10">
        <v>99100</v>
      </c>
      <c r="F445" s="11"/>
      <c r="G445" s="11"/>
      <c r="H445" s="12">
        <f t="shared" si="8"/>
        <v>0</v>
      </c>
      <c r="I445" s="1">
        <v>0</v>
      </c>
    </row>
    <row r="446" spans="2:9" hidden="1" x14ac:dyDescent="0.25">
      <c r="B446" s="14"/>
      <c r="C446" s="53" t="s">
        <v>441</v>
      </c>
      <c r="D446" s="26" t="s">
        <v>48</v>
      </c>
      <c r="E446" s="10"/>
      <c r="F446" s="12"/>
      <c r="G446" s="12"/>
      <c r="H446" s="12">
        <f t="shared" si="8"/>
        <v>0</v>
      </c>
      <c r="I446" s="1">
        <v>0</v>
      </c>
    </row>
    <row r="447" spans="2:9" hidden="1" x14ac:dyDescent="0.25">
      <c r="B447" s="14"/>
      <c r="C447" s="53" t="s">
        <v>441</v>
      </c>
      <c r="D447" s="26" t="s">
        <v>49</v>
      </c>
      <c r="E447" s="10">
        <v>38216</v>
      </c>
      <c r="F447" s="11"/>
      <c r="G447" s="11"/>
      <c r="H447" s="12">
        <f t="shared" si="8"/>
        <v>0</v>
      </c>
      <c r="I447" s="1">
        <v>0</v>
      </c>
    </row>
    <row r="448" spans="2:9" hidden="1" x14ac:dyDescent="0.25">
      <c r="B448" s="14"/>
      <c r="C448" s="53" t="s">
        <v>441</v>
      </c>
      <c r="D448" s="26" t="s">
        <v>50</v>
      </c>
      <c r="E448" s="10">
        <v>38216</v>
      </c>
      <c r="F448" s="11"/>
      <c r="G448" s="11"/>
      <c r="H448" s="12">
        <f t="shared" si="8"/>
        <v>0</v>
      </c>
      <c r="I448" s="1">
        <v>0</v>
      </c>
    </row>
    <row r="449" spans="2:9" hidden="1" x14ac:dyDescent="0.25">
      <c r="B449" s="14"/>
      <c r="C449" s="53" t="s">
        <v>441</v>
      </c>
      <c r="D449" s="26" t="s">
        <v>51</v>
      </c>
      <c r="E449" s="10"/>
      <c r="F449" s="12"/>
      <c r="G449" s="12"/>
      <c r="H449" s="12">
        <f t="shared" si="8"/>
        <v>0</v>
      </c>
      <c r="I449" s="1">
        <v>0</v>
      </c>
    </row>
    <row r="450" spans="2:9" hidden="1" x14ac:dyDescent="0.25">
      <c r="B450" s="14"/>
      <c r="C450" s="53" t="s">
        <v>441</v>
      </c>
      <c r="D450" s="26" t="s">
        <v>52</v>
      </c>
      <c r="E450" s="10">
        <v>33273</v>
      </c>
      <c r="F450" s="11"/>
      <c r="G450" s="11"/>
      <c r="H450" s="12">
        <f t="shared" si="8"/>
        <v>0</v>
      </c>
      <c r="I450" s="1">
        <v>0</v>
      </c>
    </row>
    <row r="451" spans="2:9" hidden="1" x14ac:dyDescent="0.25">
      <c r="B451" s="14"/>
      <c r="C451" s="53" t="s">
        <v>441</v>
      </c>
      <c r="D451" s="26" t="s">
        <v>53</v>
      </c>
      <c r="E451" s="10">
        <v>33275</v>
      </c>
      <c r="F451" s="11"/>
      <c r="G451" s="11"/>
      <c r="H451" s="12">
        <f t="shared" si="8"/>
        <v>0</v>
      </c>
      <c r="I451" s="1">
        <v>0</v>
      </c>
    </row>
    <row r="452" spans="2:9" hidden="1" x14ac:dyDescent="0.25">
      <c r="B452" s="14"/>
      <c r="C452" s="53" t="s">
        <v>441</v>
      </c>
      <c r="D452" s="26" t="s">
        <v>54</v>
      </c>
      <c r="E452" s="10">
        <v>44364</v>
      </c>
      <c r="F452" s="11"/>
      <c r="G452" s="11"/>
      <c r="H452" s="12">
        <f t="shared" si="8"/>
        <v>0</v>
      </c>
      <c r="I452" s="1">
        <v>0</v>
      </c>
    </row>
    <row r="453" spans="2:9" hidden="1" x14ac:dyDescent="0.25">
      <c r="B453" s="14"/>
      <c r="C453" s="53" t="s">
        <v>441</v>
      </c>
      <c r="D453" s="26" t="s">
        <v>55</v>
      </c>
      <c r="E453" s="10">
        <v>44364</v>
      </c>
      <c r="F453" s="12"/>
      <c r="G453" s="12"/>
      <c r="H453" s="12">
        <f t="shared" si="8"/>
        <v>0</v>
      </c>
      <c r="I453" s="1">
        <v>0</v>
      </c>
    </row>
    <row r="454" spans="2:9" hidden="1" x14ac:dyDescent="0.25">
      <c r="B454" s="14"/>
      <c r="C454" s="53" t="s">
        <v>441</v>
      </c>
      <c r="D454" s="26" t="s">
        <v>56</v>
      </c>
      <c r="E454" s="10">
        <v>38216</v>
      </c>
      <c r="F454" s="11"/>
      <c r="G454" s="11"/>
      <c r="H454" s="12">
        <f t="shared" si="8"/>
        <v>0</v>
      </c>
      <c r="I454" s="1">
        <v>0</v>
      </c>
    </row>
    <row r="455" spans="2:9" hidden="1" x14ac:dyDescent="0.25">
      <c r="B455" s="14"/>
      <c r="C455" s="53" t="s">
        <v>441</v>
      </c>
      <c r="D455" s="27" t="s">
        <v>57</v>
      </c>
      <c r="E455" s="14">
        <v>43500</v>
      </c>
      <c r="F455" s="14"/>
      <c r="G455" s="14"/>
      <c r="H455" s="14">
        <f t="shared" si="8"/>
        <v>0</v>
      </c>
      <c r="I455" s="1">
        <v>0</v>
      </c>
    </row>
    <row r="456" spans="2:9" hidden="1" x14ac:dyDescent="0.25">
      <c r="B456" s="14"/>
      <c r="C456" s="53" t="s">
        <v>441</v>
      </c>
      <c r="D456" s="27" t="s">
        <v>58</v>
      </c>
      <c r="E456" s="14">
        <v>43500</v>
      </c>
      <c r="F456" s="45"/>
      <c r="G456" s="45"/>
      <c r="H456" s="14">
        <f t="shared" si="8"/>
        <v>0</v>
      </c>
      <c r="I456" s="1">
        <v>0</v>
      </c>
    </row>
    <row r="457" spans="2:9" hidden="1" x14ac:dyDescent="0.25">
      <c r="B457" s="14"/>
      <c r="C457" s="53" t="s">
        <v>441</v>
      </c>
      <c r="D457" s="27" t="s">
        <v>59</v>
      </c>
      <c r="E457" s="14">
        <v>43500</v>
      </c>
      <c r="F457" s="14"/>
      <c r="G457" s="14"/>
      <c r="H457" s="14">
        <f t="shared" si="8"/>
        <v>0</v>
      </c>
      <c r="I457" s="1">
        <v>0</v>
      </c>
    </row>
    <row r="458" spans="2:9" hidden="1" x14ac:dyDescent="0.25">
      <c r="B458" s="14"/>
      <c r="C458" s="53" t="s">
        <v>441</v>
      </c>
      <c r="D458" s="26" t="s">
        <v>60</v>
      </c>
      <c r="E458" s="10"/>
      <c r="F458" s="12"/>
      <c r="G458" s="12"/>
      <c r="H458" s="12">
        <f t="shared" si="8"/>
        <v>0</v>
      </c>
      <c r="I458" s="1">
        <v>0</v>
      </c>
    </row>
    <row r="459" spans="2:9" hidden="1" x14ac:dyDescent="0.25">
      <c r="B459" s="14"/>
      <c r="C459" s="53" t="s">
        <v>441</v>
      </c>
      <c r="D459" s="26" t="s">
        <v>61</v>
      </c>
      <c r="E459" s="10"/>
      <c r="F459" s="12"/>
      <c r="G459" s="12"/>
      <c r="H459" s="12">
        <f t="shared" si="8"/>
        <v>0</v>
      </c>
      <c r="I459" s="1">
        <v>0</v>
      </c>
    </row>
    <row r="460" spans="2:9" hidden="1" x14ac:dyDescent="0.25">
      <c r="B460" s="14"/>
      <c r="C460" s="53" t="s">
        <v>441</v>
      </c>
      <c r="D460" s="26" t="s">
        <v>62</v>
      </c>
      <c r="E460" s="10"/>
      <c r="F460" s="12"/>
      <c r="G460" s="12"/>
      <c r="H460" s="12">
        <f t="shared" si="8"/>
        <v>0</v>
      </c>
      <c r="I460" s="1">
        <v>0</v>
      </c>
    </row>
    <row r="461" spans="2:9" hidden="1" x14ac:dyDescent="0.25">
      <c r="B461" s="14"/>
      <c r="C461" s="53" t="s">
        <v>441</v>
      </c>
      <c r="D461" s="26" t="s">
        <v>63</v>
      </c>
      <c r="E461" s="10">
        <v>38216</v>
      </c>
      <c r="F461" s="11"/>
      <c r="G461" s="11"/>
      <c r="H461" s="12">
        <f t="shared" si="8"/>
        <v>0</v>
      </c>
      <c r="I461" s="1">
        <v>0</v>
      </c>
    </row>
    <row r="462" spans="2:9" hidden="1" x14ac:dyDescent="0.25">
      <c r="B462" s="14"/>
      <c r="C462" s="53" t="s">
        <v>441</v>
      </c>
      <c r="D462" s="26" t="s">
        <v>64</v>
      </c>
      <c r="E462" s="10">
        <v>38216</v>
      </c>
      <c r="F462" s="11"/>
      <c r="G462" s="11"/>
      <c r="H462" s="12">
        <f t="shared" si="8"/>
        <v>0</v>
      </c>
      <c r="I462" s="1">
        <v>0</v>
      </c>
    </row>
    <row r="463" spans="2:9" hidden="1" x14ac:dyDescent="0.25">
      <c r="B463" s="14"/>
      <c r="C463" s="53" t="s">
        <v>441</v>
      </c>
      <c r="D463" s="26" t="s">
        <v>65</v>
      </c>
      <c r="E463" s="10">
        <v>38216</v>
      </c>
      <c r="F463" s="11"/>
      <c r="G463" s="11"/>
      <c r="H463" s="12">
        <f t="shared" si="8"/>
        <v>0</v>
      </c>
      <c r="I463" s="1">
        <v>0</v>
      </c>
    </row>
    <row r="464" spans="2:9" hidden="1" x14ac:dyDescent="0.25">
      <c r="B464" s="14"/>
      <c r="C464" s="53" t="s">
        <v>441</v>
      </c>
      <c r="D464" s="26" t="s">
        <v>66</v>
      </c>
      <c r="E464" s="10">
        <v>37555</v>
      </c>
      <c r="F464" s="12"/>
      <c r="G464" s="12"/>
      <c r="H464" s="12">
        <f t="shared" si="8"/>
        <v>0</v>
      </c>
      <c r="I464" s="1">
        <v>0</v>
      </c>
    </row>
    <row r="465" spans="2:9" hidden="1" x14ac:dyDescent="0.25">
      <c r="B465" s="14"/>
      <c r="C465" s="53" t="s">
        <v>441</v>
      </c>
      <c r="D465" s="26" t="s">
        <v>454</v>
      </c>
      <c r="E465" s="10">
        <v>84950</v>
      </c>
      <c r="F465" s="12"/>
      <c r="G465" s="12"/>
      <c r="H465" s="12">
        <f t="shared" si="8"/>
        <v>0</v>
      </c>
      <c r="I465" s="1">
        <v>0</v>
      </c>
    </row>
    <row r="466" spans="2:9" hidden="1" x14ac:dyDescent="0.25">
      <c r="B466" s="14"/>
      <c r="C466" s="53" t="s">
        <v>441</v>
      </c>
      <c r="D466" s="26" t="s">
        <v>455</v>
      </c>
      <c r="E466" s="10">
        <v>84950</v>
      </c>
      <c r="F466" s="12"/>
      <c r="G466" s="12"/>
      <c r="H466" s="12">
        <f t="shared" si="8"/>
        <v>0</v>
      </c>
      <c r="I466" s="1">
        <v>0</v>
      </c>
    </row>
    <row r="467" spans="2:9" hidden="1" x14ac:dyDescent="0.25">
      <c r="B467" s="14"/>
      <c r="C467" s="53" t="s">
        <v>441</v>
      </c>
      <c r="D467" s="26" t="s">
        <v>456</v>
      </c>
      <c r="E467" s="10">
        <v>106100</v>
      </c>
      <c r="F467" s="12"/>
      <c r="G467" s="12"/>
      <c r="H467" s="12">
        <f t="shared" si="8"/>
        <v>0</v>
      </c>
      <c r="I467" s="1">
        <v>0</v>
      </c>
    </row>
    <row r="468" spans="2:9" hidden="1" x14ac:dyDescent="0.25">
      <c r="B468" s="14"/>
      <c r="C468" s="53" t="s">
        <v>441</v>
      </c>
      <c r="D468" s="26" t="s">
        <v>457</v>
      </c>
      <c r="E468" s="10">
        <v>106100</v>
      </c>
      <c r="F468" s="12"/>
      <c r="G468" s="12"/>
      <c r="H468" s="12">
        <f t="shared" si="8"/>
        <v>0</v>
      </c>
      <c r="I468" s="1">
        <v>0</v>
      </c>
    </row>
    <row r="469" spans="2:9" hidden="1" x14ac:dyDescent="0.25">
      <c r="B469" s="14"/>
      <c r="C469" s="53" t="s">
        <v>441</v>
      </c>
      <c r="D469" s="26" t="s">
        <v>458</v>
      </c>
      <c r="E469" s="10">
        <v>113200</v>
      </c>
      <c r="F469" s="12"/>
      <c r="G469" s="12"/>
      <c r="H469" s="12">
        <f t="shared" si="8"/>
        <v>0</v>
      </c>
      <c r="I469" s="1">
        <v>0</v>
      </c>
    </row>
    <row r="470" spans="2:9" hidden="1" x14ac:dyDescent="0.25">
      <c r="B470" s="14"/>
      <c r="C470" s="53" t="s">
        <v>441</v>
      </c>
      <c r="D470" s="26" t="s">
        <v>67</v>
      </c>
      <c r="E470" s="10"/>
      <c r="F470" s="11"/>
      <c r="G470" s="11"/>
      <c r="H470" s="12">
        <f t="shared" si="8"/>
        <v>0</v>
      </c>
      <c r="I470" s="1">
        <v>0</v>
      </c>
    </row>
    <row r="471" spans="2:9" hidden="1" x14ac:dyDescent="0.25">
      <c r="B471" s="14"/>
      <c r="C471" s="53" t="s">
        <v>441</v>
      </c>
      <c r="D471" s="26" t="s">
        <v>68</v>
      </c>
      <c r="E471" s="10">
        <v>55316</v>
      </c>
      <c r="F471" s="11"/>
      <c r="G471" s="11"/>
      <c r="H471" s="12">
        <f t="shared" si="8"/>
        <v>0</v>
      </c>
      <c r="I471" s="1">
        <v>0</v>
      </c>
    </row>
    <row r="472" spans="2:9" hidden="1" x14ac:dyDescent="0.25">
      <c r="B472" s="14"/>
      <c r="C472" s="53" t="s">
        <v>441</v>
      </c>
      <c r="D472" s="26" t="s">
        <v>69</v>
      </c>
      <c r="E472" s="10">
        <v>55316</v>
      </c>
      <c r="F472" s="11"/>
      <c r="G472" s="11"/>
      <c r="H472" s="12">
        <f t="shared" ref="H472:H536" si="9">+F472*E472</f>
        <v>0</v>
      </c>
      <c r="I472" s="1">
        <v>0</v>
      </c>
    </row>
    <row r="473" spans="2:9" hidden="1" x14ac:dyDescent="0.25">
      <c r="B473" s="14"/>
      <c r="C473" s="53" t="s">
        <v>441</v>
      </c>
      <c r="D473" s="26" t="s">
        <v>70</v>
      </c>
      <c r="E473" s="10">
        <v>34978</v>
      </c>
      <c r="F473" s="12"/>
      <c r="G473" s="12"/>
      <c r="H473" s="12">
        <f t="shared" si="9"/>
        <v>0</v>
      </c>
      <c r="I473" s="1">
        <v>0</v>
      </c>
    </row>
    <row r="474" spans="2:9" hidden="1" x14ac:dyDescent="0.25">
      <c r="B474" s="14"/>
      <c r="C474" s="53" t="s">
        <v>441</v>
      </c>
      <c r="D474" s="26" t="s">
        <v>71</v>
      </c>
      <c r="E474" s="10">
        <v>39512</v>
      </c>
      <c r="F474" s="11"/>
      <c r="G474" s="11"/>
      <c r="H474" s="12">
        <f t="shared" si="9"/>
        <v>0</v>
      </c>
      <c r="I474" s="1">
        <v>0</v>
      </c>
    </row>
    <row r="475" spans="2:9" hidden="1" x14ac:dyDescent="0.25">
      <c r="B475" s="14"/>
      <c r="C475" s="53" t="s">
        <v>441</v>
      </c>
      <c r="D475" s="26" t="s">
        <v>72</v>
      </c>
      <c r="E475" s="10">
        <v>39512</v>
      </c>
      <c r="F475" s="11"/>
      <c r="G475" s="11"/>
      <c r="H475" s="12">
        <f t="shared" si="9"/>
        <v>0</v>
      </c>
      <c r="I475" s="1">
        <v>0</v>
      </c>
    </row>
    <row r="476" spans="2:9" hidden="1" x14ac:dyDescent="0.25">
      <c r="B476" s="14"/>
      <c r="C476" s="53" t="s">
        <v>441</v>
      </c>
      <c r="D476" s="26" t="s">
        <v>73</v>
      </c>
      <c r="E476" s="10">
        <v>48870</v>
      </c>
      <c r="F476" s="11"/>
      <c r="G476" s="11"/>
      <c r="H476" s="12">
        <f t="shared" si="9"/>
        <v>0</v>
      </c>
      <c r="I476" s="1">
        <v>0</v>
      </c>
    </row>
    <row r="477" spans="2:9" hidden="1" x14ac:dyDescent="0.25">
      <c r="B477" s="14"/>
      <c r="C477" s="53" t="s">
        <v>441</v>
      </c>
      <c r="D477" s="26" t="s">
        <v>453</v>
      </c>
      <c r="E477" s="10">
        <v>56650</v>
      </c>
      <c r="F477" s="11"/>
      <c r="G477" s="11"/>
      <c r="H477" s="12">
        <f t="shared" si="9"/>
        <v>0</v>
      </c>
      <c r="I477" s="1">
        <v>0</v>
      </c>
    </row>
    <row r="478" spans="2:9" hidden="1" x14ac:dyDescent="0.25">
      <c r="B478" s="14"/>
      <c r="C478" s="53" t="s">
        <v>441</v>
      </c>
      <c r="D478" s="26" t="s">
        <v>74</v>
      </c>
      <c r="E478" s="10"/>
      <c r="F478" s="12"/>
      <c r="G478" s="12"/>
      <c r="H478" s="12">
        <f t="shared" si="9"/>
        <v>0</v>
      </c>
      <c r="I478" s="1">
        <v>0</v>
      </c>
    </row>
    <row r="479" spans="2:9" hidden="1" x14ac:dyDescent="0.25">
      <c r="B479" s="14"/>
      <c r="C479" s="53" t="s">
        <v>441</v>
      </c>
      <c r="D479" s="26" t="s">
        <v>75</v>
      </c>
      <c r="E479" s="10">
        <v>56650</v>
      </c>
      <c r="F479" s="12"/>
      <c r="G479" s="12"/>
      <c r="H479" s="12">
        <f t="shared" si="9"/>
        <v>0</v>
      </c>
      <c r="I479" s="1">
        <v>0</v>
      </c>
    </row>
    <row r="480" spans="2:9" hidden="1" x14ac:dyDescent="0.25">
      <c r="B480" s="14"/>
      <c r="C480" s="53" t="s">
        <v>441</v>
      </c>
      <c r="D480" s="26" t="s">
        <v>76</v>
      </c>
      <c r="E480" s="10">
        <v>56650</v>
      </c>
      <c r="F480" s="12"/>
      <c r="G480" s="12"/>
      <c r="H480" s="12">
        <f t="shared" si="9"/>
        <v>0</v>
      </c>
      <c r="I480" s="1">
        <v>0</v>
      </c>
    </row>
    <row r="481" spans="2:9" hidden="1" x14ac:dyDescent="0.25">
      <c r="B481" s="14"/>
      <c r="C481" s="53" t="s">
        <v>441</v>
      </c>
      <c r="D481" s="26" t="s">
        <v>77</v>
      </c>
      <c r="E481" s="10">
        <v>92278</v>
      </c>
      <c r="F481" s="12"/>
      <c r="G481" s="12"/>
      <c r="H481" s="12">
        <f t="shared" si="9"/>
        <v>0</v>
      </c>
      <c r="I481" s="1">
        <v>0</v>
      </c>
    </row>
    <row r="482" spans="2:9" hidden="1" x14ac:dyDescent="0.25">
      <c r="B482" s="14"/>
      <c r="C482" s="53" t="s">
        <v>441</v>
      </c>
      <c r="D482" s="26" t="s">
        <v>78</v>
      </c>
      <c r="E482" s="10">
        <v>58665</v>
      </c>
      <c r="F482" s="11"/>
      <c r="G482" s="11"/>
      <c r="H482" s="12">
        <f t="shared" si="9"/>
        <v>0</v>
      </c>
      <c r="I482" s="1">
        <v>0</v>
      </c>
    </row>
    <row r="483" spans="2:9" hidden="1" x14ac:dyDescent="0.25">
      <c r="B483" s="28" t="s">
        <v>79</v>
      </c>
      <c r="C483" s="53" t="s">
        <v>441</v>
      </c>
      <c r="D483" s="27" t="s">
        <v>80</v>
      </c>
      <c r="E483" s="18">
        <v>7000</v>
      </c>
      <c r="F483" s="15"/>
      <c r="G483" s="15"/>
      <c r="H483" s="18">
        <f t="shared" si="9"/>
        <v>0</v>
      </c>
      <c r="I483" s="1">
        <v>0</v>
      </c>
    </row>
    <row r="484" spans="2:9" hidden="1" x14ac:dyDescent="0.25">
      <c r="B484" s="21">
        <v>4607157396718</v>
      </c>
      <c r="C484" s="53" t="s">
        <v>441</v>
      </c>
      <c r="D484" s="49" t="s">
        <v>304</v>
      </c>
      <c r="E484" s="14">
        <v>8050</v>
      </c>
      <c r="F484" s="45"/>
      <c r="G484" s="45"/>
      <c r="H484" s="45">
        <f t="shared" si="9"/>
        <v>0</v>
      </c>
      <c r="I484" s="1">
        <v>0</v>
      </c>
    </row>
    <row r="485" spans="2:9" ht="16.5" hidden="1" customHeight="1" x14ac:dyDescent="0.25">
      <c r="B485" s="16" t="s">
        <v>81</v>
      </c>
      <c r="C485" s="53" t="s">
        <v>441</v>
      </c>
      <c r="D485" s="26" t="s">
        <v>82</v>
      </c>
      <c r="E485" s="18">
        <v>4000</v>
      </c>
      <c r="F485" s="15"/>
      <c r="G485" s="15"/>
      <c r="H485" s="15">
        <f t="shared" si="9"/>
        <v>0</v>
      </c>
      <c r="I485" s="1">
        <v>0</v>
      </c>
    </row>
    <row r="486" spans="2:9" hidden="1" x14ac:dyDescent="0.25">
      <c r="B486" s="16" t="s">
        <v>83</v>
      </c>
      <c r="C486" s="53" t="s">
        <v>441</v>
      </c>
      <c r="D486" s="26" t="s">
        <v>84</v>
      </c>
      <c r="E486" s="18">
        <v>4000</v>
      </c>
      <c r="F486" s="15"/>
      <c r="G486" s="15"/>
      <c r="H486" s="15">
        <f t="shared" si="9"/>
        <v>0</v>
      </c>
      <c r="I486" s="1">
        <v>0</v>
      </c>
    </row>
    <row r="487" spans="2:9" ht="16.5" hidden="1" customHeight="1" x14ac:dyDescent="0.25">
      <c r="B487" s="16" t="s">
        <v>85</v>
      </c>
      <c r="C487" s="53" t="s">
        <v>441</v>
      </c>
      <c r="D487" s="26" t="s">
        <v>449</v>
      </c>
      <c r="E487" s="18">
        <v>4000</v>
      </c>
      <c r="F487" s="15"/>
      <c r="G487" s="15"/>
      <c r="H487" s="15">
        <f t="shared" si="9"/>
        <v>0</v>
      </c>
      <c r="I487" s="1">
        <v>0</v>
      </c>
    </row>
    <row r="488" spans="2:9" ht="17.25" hidden="1" customHeight="1" x14ac:dyDescent="0.25">
      <c r="B488" s="16" t="s">
        <v>86</v>
      </c>
      <c r="C488" s="53" t="s">
        <v>441</v>
      </c>
      <c r="D488" s="27" t="s">
        <v>87</v>
      </c>
      <c r="E488" s="18">
        <v>7000</v>
      </c>
      <c r="F488" s="15"/>
      <c r="G488" s="15"/>
      <c r="H488" s="18">
        <f t="shared" si="9"/>
        <v>0</v>
      </c>
      <c r="I488" s="1">
        <v>0</v>
      </c>
    </row>
    <row r="489" spans="2:9" hidden="1" x14ac:dyDescent="0.25">
      <c r="B489" s="14" t="s">
        <v>407</v>
      </c>
      <c r="C489" s="55" t="s">
        <v>442</v>
      </c>
      <c r="D489" s="47" t="s">
        <v>337</v>
      </c>
      <c r="E489" s="46">
        <v>2350</v>
      </c>
      <c r="F489" s="45"/>
      <c r="G489" s="45"/>
      <c r="H489" s="45">
        <f t="shared" si="9"/>
        <v>0</v>
      </c>
      <c r="I489" s="1">
        <v>0</v>
      </c>
    </row>
    <row r="490" spans="2:9" hidden="1" x14ac:dyDescent="0.25">
      <c r="B490" s="21"/>
      <c r="C490" s="55" t="s">
        <v>442</v>
      </c>
      <c r="D490" s="47" t="s">
        <v>338</v>
      </c>
      <c r="E490" s="13">
        <v>2350</v>
      </c>
      <c r="F490" s="45"/>
      <c r="G490" s="45"/>
      <c r="H490" s="45">
        <f t="shared" si="9"/>
        <v>0</v>
      </c>
      <c r="I490" s="1">
        <v>0</v>
      </c>
    </row>
    <row r="491" spans="2:9" ht="16.5" hidden="1" customHeight="1" x14ac:dyDescent="0.25">
      <c r="B491" s="21">
        <v>4600823122017</v>
      </c>
      <c r="C491" s="55" t="s">
        <v>442</v>
      </c>
      <c r="D491" s="47" t="s">
        <v>339</v>
      </c>
      <c r="E491" s="46">
        <v>7850</v>
      </c>
      <c r="F491" s="15"/>
      <c r="G491" s="15"/>
      <c r="H491" s="15">
        <f t="shared" si="9"/>
        <v>0</v>
      </c>
      <c r="I491" s="1">
        <v>0</v>
      </c>
    </row>
    <row r="492" spans="2:9" ht="15.75" hidden="1" customHeight="1" x14ac:dyDescent="0.25">
      <c r="B492" s="16" t="s">
        <v>433</v>
      </c>
      <c r="C492" s="55" t="s">
        <v>442</v>
      </c>
      <c r="D492" s="27" t="s">
        <v>340</v>
      </c>
      <c r="E492" s="46">
        <v>6900</v>
      </c>
      <c r="F492" s="18"/>
      <c r="G492" s="18"/>
      <c r="H492" s="18">
        <f t="shared" si="9"/>
        <v>0</v>
      </c>
      <c r="I492" s="1">
        <v>0</v>
      </c>
    </row>
    <row r="493" spans="2:9" ht="17.25" hidden="1" customHeight="1" x14ac:dyDescent="0.25">
      <c r="B493" s="21" t="s">
        <v>245</v>
      </c>
      <c r="C493" s="55" t="s">
        <v>442</v>
      </c>
      <c r="D493" s="26" t="s">
        <v>341</v>
      </c>
      <c r="E493" s="46">
        <v>6900</v>
      </c>
      <c r="F493" s="15"/>
      <c r="G493" s="15"/>
      <c r="H493" s="15">
        <f t="shared" si="9"/>
        <v>0</v>
      </c>
      <c r="I493" s="1">
        <v>0</v>
      </c>
    </row>
    <row r="494" spans="2:9" hidden="1" x14ac:dyDescent="0.25">
      <c r="B494" s="21" t="s">
        <v>408</v>
      </c>
      <c r="C494" s="55" t="s">
        <v>442</v>
      </c>
      <c r="D494" s="26" t="s">
        <v>342</v>
      </c>
      <c r="E494" s="46">
        <v>6900</v>
      </c>
      <c r="F494" s="15"/>
      <c r="G494" s="15"/>
      <c r="H494" s="15">
        <f t="shared" si="9"/>
        <v>0</v>
      </c>
      <c r="I494" s="1">
        <v>0</v>
      </c>
    </row>
    <row r="495" spans="2:9" hidden="1" x14ac:dyDescent="0.25">
      <c r="B495" s="21" t="s">
        <v>409</v>
      </c>
      <c r="C495" s="55" t="s">
        <v>442</v>
      </c>
      <c r="D495" s="26" t="s">
        <v>343</v>
      </c>
      <c r="E495" s="46">
        <v>20100</v>
      </c>
      <c r="F495" s="15"/>
      <c r="G495" s="15"/>
      <c r="H495" s="15">
        <f t="shared" si="9"/>
        <v>0</v>
      </c>
      <c r="I495" s="1">
        <v>0</v>
      </c>
    </row>
    <row r="496" spans="2:9" ht="18" hidden="1" customHeight="1" x14ac:dyDescent="0.25">
      <c r="B496" s="14" t="s">
        <v>248</v>
      </c>
      <c r="C496" s="55" t="s">
        <v>442</v>
      </c>
      <c r="D496" s="26" t="s">
        <v>450</v>
      </c>
      <c r="E496" s="46">
        <v>4000</v>
      </c>
      <c r="F496" s="15"/>
      <c r="G496" s="15"/>
      <c r="H496" s="15">
        <f t="shared" si="9"/>
        <v>0</v>
      </c>
      <c r="I496" s="1">
        <v>0</v>
      </c>
    </row>
    <row r="497" spans="2:9" ht="16.5" hidden="1" customHeight="1" x14ac:dyDescent="0.25">
      <c r="B497" s="14" t="s">
        <v>410</v>
      </c>
      <c r="C497" s="55" t="s">
        <v>442</v>
      </c>
      <c r="D497" s="26" t="s">
        <v>451</v>
      </c>
      <c r="E497" s="46">
        <v>4000</v>
      </c>
      <c r="F497" s="15"/>
      <c r="G497" s="15"/>
      <c r="H497" s="15">
        <f t="shared" si="9"/>
        <v>0</v>
      </c>
      <c r="I497" s="1">
        <v>0</v>
      </c>
    </row>
    <row r="498" spans="2:9" hidden="1" x14ac:dyDescent="0.25">
      <c r="B498" s="21" t="s">
        <v>411</v>
      </c>
      <c r="C498" s="55" t="s">
        <v>442</v>
      </c>
      <c r="D498" s="27" t="s">
        <v>344</v>
      </c>
      <c r="E498" s="46">
        <v>4850</v>
      </c>
      <c r="F498" s="45"/>
      <c r="G498" s="45"/>
      <c r="H498" s="45">
        <f t="shared" si="9"/>
        <v>0</v>
      </c>
      <c r="I498" s="1">
        <v>0</v>
      </c>
    </row>
    <row r="499" spans="2:9" hidden="1" x14ac:dyDescent="0.25">
      <c r="B499" s="21" t="s">
        <v>412</v>
      </c>
      <c r="C499" s="55" t="s">
        <v>442</v>
      </c>
      <c r="D499" s="27" t="s">
        <v>345</v>
      </c>
      <c r="E499" s="46">
        <v>4375</v>
      </c>
      <c r="F499" s="18"/>
      <c r="G499" s="18"/>
      <c r="H499" s="18">
        <f t="shared" si="9"/>
        <v>0</v>
      </c>
      <c r="I499" s="1">
        <v>0</v>
      </c>
    </row>
    <row r="500" spans="2:9" hidden="1" x14ac:dyDescent="0.25">
      <c r="B500" s="14" t="s">
        <v>255</v>
      </c>
      <c r="C500" s="55" t="s">
        <v>442</v>
      </c>
      <c r="D500" s="26" t="s">
        <v>346</v>
      </c>
      <c r="E500" s="41">
        <v>4375</v>
      </c>
      <c r="F500" s="14"/>
      <c r="G500" s="14"/>
      <c r="H500" s="45">
        <f t="shared" si="9"/>
        <v>0</v>
      </c>
      <c r="I500" s="1">
        <v>0</v>
      </c>
    </row>
    <row r="501" spans="2:9" hidden="1" x14ac:dyDescent="0.25">
      <c r="B501" s="14" t="s">
        <v>256</v>
      </c>
      <c r="C501" s="55" t="s">
        <v>442</v>
      </c>
      <c r="D501" s="26" t="s">
        <v>347</v>
      </c>
      <c r="E501" s="41">
        <v>4375</v>
      </c>
      <c r="F501" s="44"/>
      <c r="G501" s="44"/>
      <c r="H501" s="45">
        <f t="shared" si="9"/>
        <v>0</v>
      </c>
      <c r="I501" s="1">
        <v>0</v>
      </c>
    </row>
    <row r="502" spans="2:9" hidden="1" x14ac:dyDescent="0.25">
      <c r="B502" s="14" t="s">
        <v>413</v>
      </c>
      <c r="C502" s="55" t="s">
        <v>442</v>
      </c>
      <c r="D502" s="27" t="s">
        <v>348</v>
      </c>
      <c r="E502" s="46">
        <v>4850</v>
      </c>
      <c r="F502" s="18"/>
      <c r="G502" s="18"/>
      <c r="H502" s="18">
        <f t="shared" si="9"/>
        <v>0</v>
      </c>
      <c r="I502" s="1">
        <v>0</v>
      </c>
    </row>
    <row r="503" spans="2:9" hidden="1" x14ac:dyDescent="0.25">
      <c r="B503" s="21" t="s">
        <v>414</v>
      </c>
      <c r="C503" s="55" t="s">
        <v>442</v>
      </c>
      <c r="D503" s="27" t="s">
        <v>349</v>
      </c>
      <c r="E503" s="46">
        <v>5850</v>
      </c>
      <c r="F503" s="45"/>
      <c r="G503" s="45"/>
      <c r="H503" s="45">
        <f t="shared" si="9"/>
        <v>0</v>
      </c>
      <c r="I503" s="1">
        <v>0</v>
      </c>
    </row>
    <row r="504" spans="2:9" hidden="1" x14ac:dyDescent="0.25">
      <c r="B504" s="14" t="s">
        <v>262</v>
      </c>
      <c r="C504" s="55" t="s">
        <v>442</v>
      </c>
      <c r="D504" s="26" t="s">
        <v>350</v>
      </c>
      <c r="E504" s="13">
        <v>8750</v>
      </c>
      <c r="F504" s="14"/>
      <c r="G504" s="14"/>
      <c r="H504" s="45">
        <f t="shared" si="9"/>
        <v>0</v>
      </c>
      <c r="I504" s="1">
        <v>0</v>
      </c>
    </row>
    <row r="505" spans="2:9" hidden="1" x14ac:dyDescent="0.25">
      <c r="B505" s="21" t="s">
        <v>415</v>
      </c>
      <c r="C505" s="55" t="s">
        <v>442</v>
      </c>
      <c r="D505" s="26" t="s">
        <v>351</v>
      </c>
      <c r="E505" s="46">
        <v>4600</v>
      </c>
      <c r="F505" s="45"/>
      <c r="G505" s="45"/>
      <c r="H505" s="45">
        <f t="shared" si="9"/>
        <v>0</v>
      </c>
      <c r="I505" s="1">
        <v>0</v>
      </c>
    </row>
    <row r="506" spans="2:9" hidden="1" x14ac:dyDescent="0.25">
      <c r="B506" s="21" t="s">
        <v>257</v>
      </c>
      <c r="C506" s="55" t="s">
        <v>442</v>
      </c>
      <c r="D506" s="27" t="s">
        <v>352</v>
      </c>
      <c r="E506" s="13">
        <v>4150</v>
      </c>
      <c r="F506" s="18"/>
      <c r="G506" s="18"/>
      <c r="H506" s="18">
        <f t="shared" si="9"/>
        <v>0</v>
      </c>
      <c r="I506" s="1">
        <v>0</v>
      </c>
    </row>
    <row r="507" spans="2:9" hidden="1" x14ac:dyDescent="0.25">
      <c r="B507" s="21" t="s">
        <v>258</v>
      </c>
      <c r="C507" s="55" t="s">
        <v>442</v>
      </c>
      <c r="D507" s="27" t="s">
        <v>353</v>
      </c>
      <c r="E507" s="13">
        <v>4150</v>
      </c>
      <c r="F507" s="18"/>
      <c r="G507" s="18"/>
      <c r="H507" s="18">
        <f t="shared" si="9"/>
        <v>0</v>
      </c>
      <c r="I507" s="1">
        <v>0</v>
      </c>
    </row>
    <row r="508" spans="2:9" hidden="1" x14ac:dyDescent="0.25">
      <c r="B508" s="14" t="s">
        <v>416</v>
      </c>
      <c r="C508" s="55" t="s">
        <v>442</v>
      </c>
      <c r="D508" s="26" t="s">
        <v>354</v>
      </c>
      <c r="E508" s="42">
        <v>4150</v>
      </c>
      <c r="F508" s="44"/>
      <c r="G508" s="44"/>
      <c r="H508" s="10">
        <f t="shared" si="9"/>
        <v>0</v>
      </c>
      <c r="I508" s="1">
        <v>0</v>
      </c>
    </row>
    <row r="509" spans="2:9" ht="18" hidden="1" customHeight="1" x14ac:dyDescent="0.25">
      <c r="B509" s="14" t="s">
        <v>259</v>
      </c>
      <c r="C509" s="55" t="s">
        <v>442</v>
      </c>
      <c r="D509" s="49" t="s">
        <v>355</v>
      </c>
      <c r="E509" s="13">
        <v>4150</v>
      </c>
      <c r="F509" s="18"/>
      <c r="G509" s="18"/>
      <c r="H509" s="18">
        <f t="shared" si="9"/>
        <v>0</v>
      </c>
      <c r="I509" s="1">
        <v>0</v>
      </c>
    </row>
    <row r="510" spans="2:9" hidden="1" x14ac:dyDescent="0.25">
      <c r="B510" s="14" t="s">
        <v>417</v>
      </c>
      <c r="C510" s="55" t="s">
        <v>442</v>
      </c>
      <c r="D510" s="26" t="s">
        <v>356</v>
      </c>
      <c r="E510" s="42">
        <v>1400</v>
      </c>
      <c r="F510" s="44"/>
      <c r="G510" s="44"/>
      <c r="H510" s="10">
        <f t="shared" si="9"/>
        <v>0</v>
      </c>
      <c r="I510" s="1">
        <v>0</v>
      </c>
    </row>
    <row r="511" spans="2:9" hidden="1" x14ac:dyDescent="0.25">
      <c r="B511" s="14" t="s">
        <v>418</v>
      </c>
      <c r="C511" s="55" t="s">
        <v>442</v>
      </c>
      <c r="D511" s="26" t="s">
        <v>357</v>
      </c>
      <c r="E511" s="42">
        <v>1400</v>
      </c>
      <c r="F511" s="44"/>
      <c r="G511" s="44"/>
      <c r="H511" s="10">
        <f t="shared" si="9"/>
        <v>0</v>
      </c>
      <c r="I511" s="1">
        <v>0</v>
      </c>
    </row>
    <row r="512" spans="2:9" ht="17.25" hidden="1" customHeight="1" x14ac:dyDescent="0.25">
      <c r="B512" s="14" t="s">
        <v>419</v>
      </c>
      <c r="C512" s="55" t="s">
        <v>442</v>
      </c>
      <c r="D512" s="27" t="s">
        <v>358</v>
      </c>
      <c r="E512" s="42">
        <v>35000</v>
      </c>
      <c r="F512" s="44"/>
      <c r="G512" s="44"/>
      <c r="H512" s="14">
        <f t="shared" si="9"/>
        <v>0</v>
      </c>
      <c r="I512" s="1">
        <v>0</v>
      </c>
    </row>
    <row r="513" spans="2:10" hidden="1" x14ac:dyDescent="0.25">
      <c r="B513" s="14" t="s">
        <v>420</v>
      </c>
      <c r="C513" s="55" t="s">
        <v>442</v>
      </c>
      <c r="D513" s="27" t="s">
        <v>359</v>
      </c>
      <c r="E513" s="13">
        <v>36250</v>
      </c>
      <c r="F513" s="15"/>
      <c r="G513" s="15"/>
      <c r="H513" s="15">
        <f t="shared" si="9"/>
        <v>0</v>
      </c>
      <c r="I513" s="1">
        <v>0</v>
      </c>
    </row>
    <row r="514" spans="2:10" hidden="1" x14ac:dyDescent="0.25">
      <c r="B514" s="14" t="s">
        <v>246</v>
      </c>
      <c r="C514" s="55" t="s">
        <v>442</v>
      </c>
      <c r="D514" s="26" t="s">
        <v>360</v>
      </c>
      <c r="E514" s="42">
        <v>36250</v>
      </c>
      <c r="F514" s="44"/>
      <c r="G514" s="44"/>
      <c r="H514" s="10">
        <f t="shared" si="9"/>
        <v>0</v>
      </c>
      <c r="I514" s="1">
        <v>0</v>
      </c>
    </row>
    <row r="515" spans="2:10" hidden="1" x14ac:dyDescent="0.25">
      <c r="B515" s="14" t="s">
        <v>249</v>
      </c>
      <c r="C515" s="55" t="s">
        <v>442</v>
      </c>
      <c r="D515" s="26" t="s">
        <v>361</v>
      </c>
      <c r="E515" s="42">
        <v>19100</v>
      </c>
      <c r="F515" s="44"/>
      <c r="G515" s="44"/>
      <c r="H515" s="10">
        <f t="shared" si="9"/>
        <v>0</v>
      </c>
      <c r="I515" s="1">
        <v>0</v>
      </c>
      <c r="J515" s="1">
        <v>0</v>
      </c>
    </row>
    <row r="516" spans="2:10" ht="24.75" hidden="1" customHeight="1" x14ac:dyDescent="0.25">
      <c r="B516" s="50" t="s">
        <v>421</v>
      </c>
      <c r="C516" s="55" t="s">
        <v>442</v>
      </c>
      <c r="D516" s="51" t="s">
        <v>452</v>
      </c>
      <c r="E516" s="42">
        <v>19100</v>
      </c>
      <c r="F516" s="14"/>
      <c r="G516" s="14"/>
      <c r="H516" s="14">
        <f t="shared" si="9"/>
        <v>0</v>
      </c>
      <c r="I516" s="1">
        <v>0</v>
      </c>
    </row>
    <row r="517" spans="2:10" hidden="1" x14ac:dyDescent="0.25">
      <c r="B517" s="14" t="s">
        <v>250</v>
      </c>
      <c r="C517" s="55" t="s">
        <v>442</v>
      </c>
      <c r="D517" s="26" t="s">
        <v>362</v>
      </c>
      <c r="E517" s="42">
        <v>20000</v>
      </c>
      <c r="F517" s="44"/>
      <c r="G517" s="44"/>
      <c r="H517" s="10">
        <f t="shared" si="9"/>
        <v>0</v>
      </c>
      <c r="I517" s="1">
        <v>0</v>
      </c>
    </row>
    <row r="518" spans="2:10" hidden="1" x14ac:dyDescent="0.25">
      <c r="B518" s="14" t="s">
        <v>251</v>
      </c>
      <c r="C518" s="55" t="s">
        <v>442</v>
      </c>
      <c r="D518" s="47" t="s">
        <v>363</v>
      </c>
      <c r="E518" s="13">
        <v>20000</v>
      </c>
      <c r="F518" s="14"/>
      <c r="G518" s="14"/>
      <c r="H518" s="45">
        <f t="shared" si="9"/>
        <v>0</v>
      </c>
      <c r="I518" s="1">
        <v>0</v>
      </c>
    </row>
    <row r="519" spans="2:10" hidden="1" x14ac:dyDescent="0.25">
      <c r="B519" s="14" t="s">
        <v>421</v>
      </c>
      <c r="C519" s="55" t="s">
        <v>442</v>
      </c>
      <c r="D519" s="47" t="s">
        <v>364</v>
      </c>
      <c r="E519" s="13">
        <v>19100</v>
      </c>
      <c r="F519" s="14"/>
      <c r="G519" s="14"/>
      <c r="H519" s="45">
        <f t="shared" si="9"/>
        <v>0</v>
      </c>
      <c r="I519" s="1">
        <v>0</v>
      </c>
    </row>
    <row r="520" spans="2:10" hidden="1" x14ac:dyDescent="0.25">
      <c r="B520" s="14" t="s">
        <v>254</v>
      </c>
      <c r="C520" s="55" t="s">
        <v>442</v>
      </c>
      <c r="D520" s="26" t="s">
        <v>365</v>
      </c>
      <c r="E520" s="42">
        <v>10000</v>
      </c>
      <c r="F520" s="44"/>
      <c r="G520" s="44"/>
      <c r="H520" s="10">
        <f t="shared" si="9"/>
        <v>0</v>
      </c>
      <c r="I520" s="1">
        <v>0</v>
      </c>
    </row>
    <row r="521" spans="2:10" hidden="1" x14ac:dyDescent="0.25">
      <c r="B521" s="14" t="s">
        <v>260</v>
      </c>
      <c r="C521" s="55" t="s">
        <v>442</v>
      </c>
      <c r="D521" s="26" t="s">
        <v>243</v>
      </c>
      <c r="E521" s="42">
        <v>8350</v>
      </c>
      <c r="F521" s="44"/>
      <c r="G521" s="44"/>
      <c r="H521" s="10">
        <f t="shared" si="9"/>
        <v>0</v>
      </c>
      <c r="I521" s="1">
        <v>0</v>
      </c>
    </row>
    <row r="522" spans="2:10" hidden="1" x14ac:dyDescent="0.25">
      <c r="B522" s="14" t="s">
        <v>261</v>
      </c>
      <c r="C522" s="55" t="s">
        <v>442</v>
      </c>
      <c r="D522" s="26" t="s">
        <v>244</v>
      </c>
      <c r="E522" s="42">
        <v>8350</v>
      </c>
      <c r="F522" s="44"/>
      <c r="G522" s="44"/>
      <c r="H522" s="10">
        <f t="shared" si="9"/>
        <v>0</v>
      </c>
      <c r="I522" s="1">
        <v>0</v>
      </c>
    </row>
    <row r="523" spans="2:10" hidden="1" x14ac:dyDescent="0.25">
      <c r="B523" s="14" t="s">
        <v>265</v>
      </c>
      <c r="C523" s="55" t="s">
        <v>442</v>
      </c>
      <c r="D523" s="47" t="s">
        <v>366</v>
      </c>
      <c r="E523" s="13">
        <v>8350</v>
      </c>
      <c r="F523" s="14"/>
      <c r="G523" s="14"/>
      <c r="H523" s="45">
        <f t="shared" si="9"/>
        <v>0</v>
      </c>
      <c r="I523" s="1">
        <v>0</v>
      </c>
    </row>
    <row r="524" spans="2:10" ht="13.5" hidden="1" customHeight="1" x14ac:dyDescent="0.25">
      <c r="B524" s="14" t="s">
        <v>266</v>
      </c>
      <c r="C524" s="55" t="s">
        <v>442</v>
      </c>
      <c r="D524" s="47" t="s">
        <v>367</v>
      </c>
      <c r="E524" s="13">
        <v>10000</v>
      </c>
      <c r="F524" s="14"/>
      <c r="G524" s="14"/>
      <c r="H524" s="45">
        <f t="shared" si="9"/>
        <v>0</v>
      </c>
      <c r="I524" s="1">
        <v>0</v>
      </c>
    </row>
    <row r="525" spans="2:10" hidden="1" x14ac:dyDescent="0.25">
      <c r="B525" s="14" t="s">
        <v>263</v>
      </c>
      <c r="C525" s="55" t="s">
        <v>442</v>
      </c>
      <c r="D525" s="27" t="s">
        <v>368</v>
      </c>
      <c r="E525" s="13">
        <v>10500</v>
      </c>
      <c r="F525" s="45"/>
      <c r="G525" s="45"/>
      <c r="H525" s="45">
        <f t="shared" si="9"/>
        <v>0</v>
      </c>
      <c r="I525" s="1">
        <v>0</v>
      </c>
    </row>
    <row r="526" spans="2:10" hidden="1" x14ac:dyDescent="0.25">
      <c r="B526" s="14" t="s">
        <v>264</v>
      </c>
      <c r="C526" s="55" t="s">
        <v>442</v>
      </c>
      <c r="D526" s="27" t="s">
        <v>369</v>
      </c>
      <c r="E526" s="13">
        <v>9500</v>
      </c>
      <c r="F526" s="45"/>
      <c r="G526" s="45"/>
      <c r="H526" s="45">
        <f t="shared" si="9"/>
        <v>0</v>
      </c>
      <c r="I526" s="1">
        <v>0</v>
      </c>
    </row>
    <row r="527" spans="2:10" hidden="1" x14ac:dyDescent="0.25">
      <c r="B527" s="14"/>
      <c r="C527" s="55" t="s">
        <v>442</v>
      </c>
      <c r="D527" s="26" t="s">
        <v>370</v>
      </c>
      <c r="E527" s="42">
        <v>72900</v>
      </c>
      <c r="F527" s="44"/>
      <c r="G527" s="44"/>
      <c r="H527" s="10">
        <f t="shared" si="9"/>
        <v>0</v>
      </c>
      <c r="I527" s="1">
        <v>0</v>
      </c>
    </row>
    <row r="528" spans="2:10" hidden="1" x14ac:dyDescent="0.25">
      <c r="B528" s="14"/>
      <c r="C528" s="55" t="s">
        <v>442</v>
      </c>
      <c r="D528" s="26" t="s">
        <v>371</v>
      </c>
      <c r="E528" s="42">
        <v>114500</v>
      </c>
      <c r="F528" s="45"/>
      <c r="G528" s="45"/>
      <c r="H528" s="45">
        <f t="shared" si="9"/>
        <v>0</v>
      </c>
      <c r="I528" s="1">
        <v>0</v>
      </c>
    </row>
    <row r="529" spans="2:9" hidden="1" x14ac:dyDescent="0.25">
      <c r="B529" s="14"/>
      <c r="C529" s="55" t="s">
        <v>442</v>
      </c>
      <c r="D529" s="47" t="s">
        <v>372</v>
      </c>
      <c r="E529" s="13">
        <v>114500</v>
      </c>
      <c r="F529" s="45"/>
      <c r="G529" s="45"/>
      <c r="H529" s="45">
        <f t="shared" si="9"/>
        <v>0</v>
      </c>
      <c r="I529" s="1">
        <v>0</v>
      </c>
    </row>
    <row r="530" spans="2:9" hidden="1" x14ac:dyDescent="0.25">
      <c r="B530" s="14"/>
      <c r="C530" s="55" t="s">
        <v>442</v>
      </c>
      <c r="D530" s="26" t="s">
        <v>317</v>
      </c>
      <c r="E530" s="13">
        <v>84200</v>
      </c>
      <c r="F530" s="14"/>
      <c r="G530" s="14"/>
      <c r="H530" s="14">
        <f t="shared" si="9"/>
        <v>0</v>
      </c>
      <c r="I530" s="1">
        <v>0</v>
      </c>
    </row>
    <row r="531" spans="2:9" hidden="1" x14ac:dyDescent="0.25">
      <c r="B531" s="21"/>
      <c r="C531" s="55" t="s">
        <v>442</v>
      </c>
      <c r="D531" s="26" t="s">
        <v>373</v>
      </c>
      <c r="E531" s="42">
        <v>69000</v>
      </c>
      <c r="F531" s="45"/>
      <c r="G531" s="45"/>
      <c r="H531" s="45">
        <f t="shared" si="9"/>
        <v>0</v>
      </c>
      <c r="I531" s="1">
        <v>0</v>
      </c>
    </row>
    <row r="532" spans="2:9" hidden="1" x14ac:dyDescent="0.25">
      <c r="B532" s="14"/>
      <c r="C532" s="55" t="s">
        <v>442</v>
      </c>
      <c r="D532" s="26" t="s">
        <v>374</v>
      </c>
      <c r="E532" s="42">
        <v>69000</v>
      </c>
      <c r="F532" s="45"/>
      <c r="G532" s="45"/>
      <c r="H532" s="45">
        <f t="shared" si="9"/>
        <v>0</v>
      </c>
      <c r="I532" s="1">
        <v>0</v>
      </c>
    </row>
    <row r="533" spans="2:9" hidden="1" x14ac:dyDescent="0.25">
      <c r="B533" s="14"/>
      <c r="C533" s="55" t="s">
        <v>442</v>
      </c>
      <c r="D533" s="26" t="s">
        <v>375</v>
      </c>
      <c r="E533" s="42">
        <v>69000</v>
      </c>
      <c r="F533" s="45"/>
      <c r="G533" s="45"/>
      <c r="H533" s="45">
        <f t="shared" si="9"/>
        <v>0</v>
      </c>
      <c r="I533" s="1">
        <v>0</v>
      </c>
    </row>
    <row r="534" spans="2:9" hidden="1" x14ac:dyDescent="0.25">
      <c r="B534" s="14"/>
      <c r="C534" s="55" t="s">
        <v>442</v>
      </c>
      <c r="D534" s="26" t="s">
        <v>376</v>
      </c>
      <c r="E534" s="41">
        <v>82750</v>
      </c>
      <c r="F534" s="45"/>
      <c r="G534" s="45"/>
      <c r="H534" s="45">
        <f t="shared" si="9"/>
        <v>0</v>
      </c>
      <c r="I534" s="1">
        <v>0</v>
      </c>
    </row>
    <row r="535" spans="2:9" hidden="1" x14ac:dyDescent="0.25">
      <c r="B535" s="14"/>
      <c r="C535" s="55" t="s">
        <v>442</v>
      </c>
      <c r="D535" s="26" t="s">
        <v>377</v>
      </c>
      <c r="E535" s="41">
        <v>82750</v>
      </c>
      <c r="F535" s="44"/>
      <c r="G535" s="44"/>
      <c r="H535" s="10">
        <f t="shared" si="9"/>
        <v>0</v>
      </c>
      <c r="I535" s="1">
        <v>0</v>
      </c>
    </row>
    <row r="536" spans="2:9" hidden="1" x14ac:dyDescent="0.25">
      <c r="B536" s="16"/>
      <c r="C536" s="55" t="s">
        <v>442</v>
      </c>
      <c r="D536" s="26" t="s">
        <v>378</v>
      </c>
      <c r="E536" s="42">
        <v>82000</v>
      </c>
      <c r="F536" s="45"/>
      <c r="G536" s="45"/>
      <c r="H536" s="45">
        <f t="shared" si="9"/>
        <v>0</v>
      </c>
      <c r="I536" s="1">
        <v>0</v>
      </c>
    </row>
    <row r="537" spans="2:9" hidden="1" x14ac:dyDescent="0.25">
      <c r="B537" s="16"/>
      <c r="C537" s="55" t="s">
        <v>442</v>
      </c>
      <c r="D537" s="26" t="s">
        <v>379</v>
      </c>
      <c r="E537" s="42">
        <v>82000</v>
      </c>
      <c r="F537" s="45"/>
      <c r="G537" s="45"/>
      <c r="H537" s="45">
        <f t="shared" ref="H537:H600" si="10">+F537*E537</f>
        <v>0</v>
      </c>
      <c r="I537" s="1">
        <v>0</v>
      </c>
    </row>
    <row r="538" spans="2:9" hidden="1" x14ac:dyDescent="0.25">
      <c r="B538" s="16" t="s">
        <v>422</v>
      </c>
      <c r="C538" s="55" t="s">
        <v>442</v>
      </c>
      <c r="D538" s="26" t="s">
        <v>380</v>
      </c>
      <c r="E538" s="42">
        <v>286200</v>
      </c>
      <c r="F538" s="14"/>
      <c r="G538" s="14"/>
      <c r="H538" s="14">
        <f t="shared" si="10"/>
        <v>0</v>
      </c>
      <c r="I538" s="1">
        <v>0</v>
      </c>
    </row>
    <row r="539" spans="2:9" hidden="1" x14ac:dyDescent="0.25">
      <c r="B539" s="16" t="s">
        <v>247</v>
      </c>
      <c r="C539" s="55" t="s">
        <v>442</v>
      </c>
      <c r="D539" s="26" t="s">
        <v>381</v>
      </c>
      <c r="E539" s="42">
        <v>286200</v>
      </c>
      <c r="F539" s="14"/>
      <c r="G539" s="14"/>
      <c r="H539" s="14">
        <f t="shared" si="10"/>
        <v>0</v>
      </c>
      <c r="I539" s="1">
        <v>0</v>
      </c>
    </row>
    <row r="540" spans="2:9" hidden="1" x14ac:dyDescent="0.25">
      <c r="B540" s="16"/>
      <c r="C540" s="55" t="s">
        <v>442</v>
      </c>
      <c r="D540" s="26" t="s">
        <v>382</v>
      </c>
      <c r="E540" s="42">
        <v>286200</v>
      </c>
      <c r="F540" s="14"/>
      <c r="G540" s="14"/>
      <c r="H540" s="14">
        <f t="shared" si="10"/>
        <v>0</v>
      </c>
      <c r="I540" s="1">
        <v>0</v>
      </c>
    </row>
    <row r="541" spans="2:9" hidden="1" x14ac:dyDescent="0.25">
      <c r="B541" s="16" t="s">
        <v>252</v>
      </c>
      <c r="C541" s="55" t="s">
        <v>442</v>
      </c>
      <c r="D541" s="26" t="s">
        <v>383</v>
      </c>
      <c r="E541" s="42">
        <v>200000</v>
      </c>
      <c r="F541" s="14"/>
      <c r="G541" s="14"/>
      <c r="H541" s="14">
        <f t="shared" si="10"/>
        <v>0</v>
      </c>
      <c r="I541" s="1">
        <v>0</v>
      </c>
    </row>
    <row r="542" spans="2:9" hidden="1" x14ac:dyDescent="0.25">
      <c r="B542" s="16" t="s">
        <v>253</v>
      </c>
      <c r="C542" s="55" t="s">
        <v>442</v>
      </c>
      <c r="D542" s="26" t="s">
        <v>384</v>
      </c>
      <c r="E542" s="42">
        <v>248000</v>
      </c>
      <c r="F542" s="14"/>
      <c r="G542" s="14"/>
      <c r="H542" s="14">
        <f t="shared" si="10"/>
        <v>0</v>
      </c>
      <c r="I542" s="1">
        <v>0</v>
      </c>
    </row>
    <row r="543" spans="2:9" hidden="1" x14ac:dyDescent="0.25">
      <c r="B543" s="16"/>
      <c r="C543" s="55" t="s">
        <v>442</v>
      </c>
      <c r="D543" s="26" t="s">
        <v>385</v>
      </c>
      <c r="E543" s="42">
        <v>229000</v>
      </c>
      <c r="F543" s="12"/>
      <c r="G543" s="12"/>
      <c r="H543" s="12">
        <f t="shared" si="10"/>
        <v>0</v>
      </c>
      <c r="I543" s="1">
        <v>0</v>
      </c>
    </row>
    <row r="544" spans="2:9" hidden="1" x14ac:dyDescent="0.25">
      <c r="B544" s="16"/>
      <c r="C544" s="55" t="s">
        <v>442</v>
      </c>
      <c r="D544" s="26" t="s">
        <v>386</v>
      </c>
      <c r="E544" s="42">
        <v>80150</v>
      </c>
      <c r="F544" s="12"/>
      <c r="G544" s="12"/>
      <c r="H544" s="12">
        <f t="shared" si="10"/>
        <v>0</v>
      </c>
      <c r="I544" s="1">
        <v>0</v>
      </c>
    </row>
    <row r="545" spans="2:9" hidden="1" x14ac:dyDescent="0.25">
      <c r="B545" s="16"/>
      <c r="C545" s="55" t="s">
        <v>442</v>
      </c>
      <c r="D545" s="26" t="s">
        <v>387</v>
      </c>
      <c r="E545" s="42">
        <v>80150</v>
      </c>
      <c r="F545" s="12"/>
      <c r="G545" s="12"/>
      <c r="H545" s="12">
        <f t="shared" si="10"/>
        <v>0</v>
      </c>
      <c r="I545" s="1">
        <v>0</v>
      </c>
    </row>
    <row r="546" spans="2:9" hidden="1" x14ac:dyDescent="0.25">
      <c r="B546" s="16"/>
      <c r="C546" s="55" t="s">
        <v>442</v>
      </c>
      <c r="D546" s="26" t="s">
        <v>388</v>
      </c>
      <c r="E546" s="42">
        <v>148850</v>
      </c>
      <c r="F546" s="14"/>
      <c r="G546" s="14"/>
      <c r="H546" s="14">
        <f t="shared" si="10"/>
        <v>0</v>
      </c>
      <c r="I546" s="1">
        <v>0</v>
      </c>
    </row>
    <row r="547" spans="2:9" hidden="1" x14ac:dyDescent="0.25">
      <c r="B547" s="16"/>
      <c r="C547" s="55" t="s">
        <v>442</v>
      </c>
      <c r="D547" s="26" t="s">
        <v>389</v>
      </c>
      <c r="E547" s="42">
        <v>274450</v>
      </c>
      <c r="F547" s="14"/>
      <c r="G547" s="14"/>
      <c r="H547" s="14">
        <f t="shared" si="10"/>
        <v>0</v>
      </c>
      <c r="I547" s="1">
        <v>0</v>
      </c>
    </row>
    <row r="548" spans="2:9" hidden="1" x14ac:dyDescent="0.25">
      <c r="B548" s="43"/>
      <c r="C548" s="55" t="s">
        <v>442</v>
      </c>
      <c r="D548" s="26" t="s">
        <v>390</v>
      </c>
      <c r="E548" s="41">
        <v>274450</v>
      </c>
      <c r="F548" s="14"/>
      <c r="G548" s="14"/>
      <c r="H548" s="14">
        <f t="shared" si="10"/>
        <v>0</v>
      </c>
      <c r="I548" s="1">
        <v>0</v>
      </c>
    </row>
    <row r="549" spans="2:9" hidden="1" x14ac:dyDescent="0.25">
      <c r="B549" s="16"/>
      <c r="C549" s="55" t="s">
        <v>442</v>
      </c>
      <c r="D549" s="26" t="s">
        <v>391</v>
      </c>
      <c r="E549" s="42">
        <v>244200</v>
      </c>
      <c r="F549" s="19"/>
      <c r="G549" s="19"/>
      <c r="H549" s="12">
        <f t="shared" si="10"/>
        <v>0</v>
      </c>
      <c r="I549" s="1">
        <v>0</v>
      </c>
    </row>
    <row r="550" spans="2:9" hidden="1" x14ac:dyDescent="0.25">
      <c r="B550" s="16"/>
      <c r="C550" s="55" t="s">
        <v>442</v>
      </c>
      <c r="D550" s="26" t="s">
        <v>392</v>
      </c>
      <c r="E550" s="42">
        <v>343500</v>
      </c>
      <c r="F550" s="14"/>
      <c r="G550" s="14"/>
      <c r="H550" s="14">
        <f t="shared" si="10"/>
        <v>0</v>
      </c>
      <c r="I550" s="1">
        <v>0</v>
      </c>
    </row>
    <row r="551" spans="2:9" hidden="1" x14ac:dyDescent="0.25">
      <c r="B551" s="16"/>
      <c r="C551" s="55" t="s">
        <v>442</v>
      </c>
      <c r="D551" s="26" t="s">
        <v>393</v>
      </c>
      <c r="E551" s="42">
        <v>148800</v>
      </c>
      <c r="F551" s="14"/>
      <c r="G551" s="14"/>
      <c r="H551" s="14">
        <f t="shared" si="10"/>
        <v>0</v>
      </c>
      <c r="I551" s="1">
        <v>0</v>
      </c>
    </row>
    <row r="552" spans="2:9" hidden="1" x14ac:dyDescent="0.25">
      <c r="B552" s="43"/>
      <c r="C552" s="55" t="s">
        <v>442</v>
      </c>
      <c r="D552" s="26" t="s">
        <v>394</v>
      </c>
      <c r="E552" s="42">
        <v>148800</v>
      </c>
      <c r="F552" s="14"/>
      <c r="G552" s="14"/>
      <c r="H552" s="14">
        <f t="shared" si="10"/>
        <v>0</v>
      </c>
      <c r="I552" s="1">
        <v>0</v>
      </c>
    </row>
    <row r="553" spans="2:9" hidden="1" x14ac:dyDescent="0.25">
      <c r="B553" s="43"/>
      <c r="C553" s="55" t="s">
        <v>442</v>
      </c>
      <c r="D553" s="26" t="s">
        <v>395</v>
      </c>
      <c r="E553" s="42">
        <v>106850</v>
      </c>
      <c r="F553" s="14"/>
      <c r="G553" s="14"/>
      <c r="H553" s="14">
        <f t="shared" si="10"/>
        <v>0</v>
      </c>
      <c r="I553" s="1">
        <v>0</v>
      </c>
    </row>
    <row r="554" spans="2:9" hidden="1" x14ac:dyDescent="0.25">
      <c r="B554" s="43"/>
      <c r="C554" s="55" t="s">
        <v>442</v>
      </c>
      <c r="D554" s="26" t="s">
        <v>396</v>
      </c>
      <c r="E554" s="42">
        <v>106850</v>
      </c>
      <c r="F554" s="14"/>
      <c r="G554" s="14"/>
      <c r="H554" s="14">
        <f t="shared" si="10"/>
        <v>0</v>
      </c>
      <c r="I554" s="1">
        <v>0</v>
      </c>
    </row>
    <row r="555" spans="2:9" hidden="1" x14ac:dyDescent="0.25">
      <c r="B555" s="43" t="s">
        <v>423</v>
      </c>
      <c r="C555" s="55" t="s">
        <v>442</v>
      </c>
      <c r="D555" s="26" t="s">
        <v>397</v>
      </c>
      <c r="E555" s="41">
        <v>8350</v>
      </c>
      <c r="F555" s="8"/>
      <c r="G555" s="8"/>
      <c r="H555" s="12">
        <f t="shared" si="10"/>
        <v>0</v>
      </c>
      <c r="I555" s="1">
        <v>0</v>
      </c>
    </row>
    <row r="556" spans="2:9" hidden="1" x14ac:dyDescent="0.25">
      <c r="B556" s="43" t="s">
        <v>424</v>
      </c>
      <c r="C556" s="55" t="s">
        <v>442</v>
      </c>
      <c r="D556" s="26" t="s">
        <v>398</v>
      </c>
      <c r="E556" s="46">
        <v>3800</v>
      </c>
      <c r="F556" s="15"/>
      <c r="G556" s="15"/>
      <c r="H556" s="15">
        <f t="shared" si="10"/>
        <v>0</v>
      </c>
      <c r="I556" s="1">
        <v>0</v>
      </c>
    </row>
    <row r="557" spans="2:9" hidden="1" x14ac:dyDescent="0.25">
      <c r="B557" s="43" t="s">
        <v>425</v>
      </c>
      <c r="C557" s="55" t="s">
        <v>442</v>
      </c>
      <c r="D557" s="26" t="s">
        <v>399</v>
      </c>
      <c r="E557" s="46">
        <v>3300</v>
      </c>
      <c r="F557" s="15"/>
      <c r="G557" s="15"/>
      <c r="H557" s="15">
        <f t="shared" si="10"/>
        <v>0</v>
      </c>
      <c r="I557" s="1">
        <v>0</v>
      </c>
    </row>
    <row r="558" spans="2:9" hidden="1" x14ac:dyDescent="0.25">
      <c r="B558" s="43" t="s">
        <v>426</v>
      </c>
      <c r="C558" s="55" t="s">
        <v>442</v>
      </c>
      <c r="D558" s="27" t="s">
        <v>400</v>
      </c>
      <c r="E558" s="41">
        <v>3100</v>
      </c>
      <c r="F558" s="45"/>
      <c r="G558" s="45"/>
      <c r="H558" s="45">
        <f t="shared" si="10"/>
        <v>0</v>
      </c>
      <c r="I558" s="1">
        <v>0</v>
      </c>
    </row>
    <row r="559" spans="2:9" ht="15" hidden="1" customHeight="1" x14ac:dyDescent="0.25">
      <c r="B559" s="43" t="s">
        <v>427</v>
      </c>
      <c r="C559" s="55" t="s">
        <v>442</v>
      </c>
      <c r="D559" s="26" t="s">
        <v>401</v>
      </c>
      <c r="E559" s="46">
        <v>3100</v>
      </c>
      <c r="F559" s="15"/>
      <c r="G559" s="15"/>
      <c r="H559" s="15">
        <f t="shared" si="10"/>
        <v>0</v>
      </c>
      <c r="I559" s="1">
        <v>0</v>
      </c>
    </row>
    <row r="560" spans="2:9" hidden="1" x14ac:dyDescent="0.25">
      <c r="B560" s="43" t="s">
        <v>428</v>
      </c>
      <c r="C560" s="55" t="s">
        <v>442</v>
      </c>
      <c r="D560" s="26" t="s">
        <v>402</v>
      </c>
      <c r="E560" s="41">
        <v>2000</v>
      </c>
      <c r="F560" s="12"/>
      <c r="G560" s="12"/>
      <c r="H560" s="12">
        <f t="shared" si="10"/>
        <v>0</v>
      </c>
      <c r="I560" s="1">
        <v>0</v>
      </c>
    </row>
    <row r="561" spans="2:9" hidden="1" x14ac:dyDescent="0.25">
      <c r="B561" s="43" t="s">
        <v>429</v>
      </c>
      <c r="C561" s="55" t="s">
        <v>442</v>
      </c>
      <c r="D561" s="27" t="s">
        <v>403</v>
      </c>
      <c r="E561" s="46">
        <v>3800</v>
      </c>
      <c r="F561" s="15"/>
      <c r="G561" s="15"/>
      <c r="H561" s="15">
        <f t="shared" si="10"/>
        <v>0</v>
      </c>
      <c r="I561" s="1">
        <v>0</v>
      </c>
    </row>
    <row r="562" spans="2:9" hidden="1" x14ac:dyDescent="0.25">
      <c r="B562" s="43" t="s">
        <v>430</v>
      </c>
      <c r="C562" s="55" t="s">
        <v>442</v>
      </c>
      <c r="D562" s="27" t="s">
        <v>404</v>
      </c>
      <c r="E562" s="46">
        <v>3800</v>
      </c>
      <c r="F562" s="15"/>
      <c r="G562" s="15"/>
      <c r="H562" s="15">
        <f t="shared" si="10"/>
        <v>0</v>
      </c>
      <c r="I562" s="1">
        <v>0</v>
      </c>
    </row>
    <row r="563" spans="2:9" hidden="1" x14ac:dyDescent="0.25">
      <c r="B563" s="43" t="s">
        <v>431</v>
      </c>
      <c r="C563" s="55" t="s">
        <v>442</v>
      </c>
      <c r="D563" s="27" t="s">
        <v>405</v>
      </c>
      <c r="E563" s="46">
        <v>6100</v>
      </c>
      <c r="F563" s="15"/>
      <c r="G563" s="15"/>
      <c r="H563" s="15">
        <f t="shared" si="10"/>
        <v>0</v>
      </c>
      <c r="I563" s="1">
        <v>0</v>
      </c>
    </row>
    <row r="564" spans="2:9" hidden="1" x14ac:dyDescent="0.25">
      <c r="B564" s="43" t="s">
        <v>432</v>
      </c>
      <c r="C564" s="55" t="s">
        <v>442</v>
      </c>
      <c r="D564" s="27" t="s">
        <v>406</v>
      </c>
      <c r="E564" s="46">
        <v>3100</v>
      </c>
      <c r="F564" s="15"/>
      <c r="G564" s="15"/>
      <c r="H564" s="15">
        <f t="shared" si="10"/>
        <v>0</v>
      </c>
      <c r="I564" s="1">
        <v>0</v>
      </c>
    </row>
    <row r="565" spans="2:9" hidden="1" x14ac:dyDescent="0.25">
      <c r="B565" s="43" t="s">
        <v>305</v>
      </c>
      <c r="C565" s="43" t="s">
        <v>446</v>
      </c>
      <c r="D565" s="26" t="s">
        <v>267</v>
      </c>
      <c r="E565" s="41">
        <v>5875</v>
      </c>
      <c r="F565" s="19"/>
      <c r="G565" s="19"/>
      <c r="H565" s="12">
        <f t="shared" si="10"/>
        <v>0</v>
      </c>
      <c r="I565" s="1">
        <v>0</v>
      </c>
    </row>
    <row r="566" spans="2:9" hidden="1" x14ac:dyDescent="0.25">
      <c r="B566" s="43" t="s">
        <v>305</v>
      </c>
      <c r="C566" s="43" t="s">
        <v>446</v>
      </c>
      <c r="D566" s="26" t="s">
        <v>268</v>
      </c>
      <c r="E566" s="41">
        <v>11400</v>
      </c>
      <c r="F566" s="12"/>
      <c r="G566" s="12"/>
      <c r="H566" s="12">
        <f t="shared" si="10"/>
        <v>0</v>
      </c>
      <c r="I566" s="1">
        <v>0</v>
      </c>
    </row>
    <row r="567" spans="2:9" hidden="1" x14ac:dyDescent="0.25">
      <c r="B567" s="43" t="s">
        <v>306</v>
      </c>
      <c r="C567" s="43" t="s">
        <v>446</v>
      </c>
      <c r="D567" s="26" t="s">
        <v>269</v>
      </c>
      <c r="E567" s="41">
        <v>20700</v>
      </c>
      <c r="F567" s="12"/>
      <c r="G567" s="12"/>
      <c r="H567" s="12">
        <f t="shared" si="10"/>
        <v>0</v>
      </c>
      <c r="I567" s="1">
        <v>0</v>
      </c>
    </row>
    <row r="568" spans="2:9" hidden="1" x14ac:dyDescent="0.25">
      <c r="B568" s="43" t="s">
        <v>293</v>
      </c>
      <c r="C568" s="43" t="s">
        <v>446</v>
      </c>
      <c r="D568" s="26" t="s">
        <v>270</v>
      </c>
      <c r="E568" s="41">
        <v>4850</v>
      </c>
      <c r="F568" s="12"/>
      <c r="G568" s="12"/>
      <c r="H568" s="12">
        <f t="shared" si="10"/>
        <v>0</v>
      </c>
      <c r="I568" s="1">
        <v>0</v>
      </c>
    </row>
    <row r="569" spans="2:9" hidden="1" x14ac:dyDescent="0.25">
      <c r="B569" s="43" t="s">
        <v>307</v>
      </c>
      <c r="C569" s="43" t="s">
        <v>446</v>
      </c>
      <c r="D569" s="26" t="s">
        <v>271</v>
      </c>
      <c r="E569" s="41">
        <v>8650</v>
      </c>
      <c r="F569" s="12"/>
      <c r="G569" s="12"/>
      <c r="H569" s="12">
        <f t="shared" si="10"/>
        <v>0</v>
      </c>
      <c r="I569" s="1">
        <v>0</v>
      </c>
    </row>
    <row r="570" spans="2:9" hidden="1" x14ac:dyDescent="0.25">
      <c r="B570" s="43" t="s">
        <v>308</v>
      </c>
      <c r="C570" s="43" t="s">
        <v>446</v>
      </c>
      <c r="D570" s="26" t="s">
        <v>272</v>
      </c>
      <c r="E570" s="41">
        <v>15500</v>
      </c>
      <c r="F570" s="12"/>
      <c r="G570" s="12"/>
      <c r="H570" s="12">
        <f t="shared" si="10"/>
        <v>0</v>
      </c>
      <c r="I570" s="1">
        <v>0</v>
      </c>
    </row>
    <row r="571" spans="2:9" hidden="1" x14ac:dyDescent="0.25">
      <c r="B571" s="43" t="s">
        <v>294</v>
      </c>
      <c r="C571" s="43" t="s">
        <v>446</v>
      </c>
      <c r="D571" s="26" t="s">
        <v>273</v>
      </c>
      <c r="E571" s="41">
        <v>6900</v>
      </c>
      <c r="F571" s="12"/>
      <c r="G571" s="12"/>
      <c r="H571" s="12">
        <f t="shared" si="10"/>
        <v>0</v>
      </c>
      <c r="I571" s="1">
        <v>0</v>
      </c>
    </row>
    <row r="572" spans="2:9" hidden="1" x14ac:dyDescent="0.25">
      <c r="B572" s="43" t="s">
        <v>295</v>
      </c>
      <c r="C572" s="43" t="s">
        <v>446</v>
      </c>
      <c r="D572" s="26" t="s">
        <v>274</v>
      </c>
      <c r="E572" s="41">
        <v>13800</v>
      </c>
      <c r="F572" s="12"/>
      <c r="G572" s="12"/>
      <c r="H572" s="12">
        <f t="shared" si="10"/>
        <v>0</v>
      </c>
      <c r="I572" s="1">
        <v>0</v>
      </c>
    </row>
    <row r="573" spans="2:9" hidden="1" x14ac:dyDescent="0.25">
      <c r="B573" s="43" t="s">
        <v>296</v>
      </c>
      <c r="C573" s="43" t="s">
        <v>446</v>
      </c>
      <c r="D573" s="26" t="s">
        <v>275</v>
      </c>
      <c r="E573" s="41">
        <v>24200</v>
      </c>
      <c r="F573" s="12"/>
      <c r="G573" s="12"/>
      <c r="H573" s="12">
        <f t="shared" si="10"/>
        <v>0</v>
      </c>
      <c r="I573" s="1">
        <v>0</v>
      </c>
    </row>
    <row r="574" spans="2:9" hidden="1" x14ac:dyDescent="0.25">
      <c r="B574" s="43" t="s">
        <v>297</v>
      </c>
      <c r="C574" s="43" t="s">
        <v>446</v>
      </c>
      <c r="D574" s="26" t="s">
        <v>276</v>
      </c>
      <c r="E574" s="41">
        <v>11050</v>
      </c>
      <c r="F574" s="12"/>
      <c r="G574" s="12"/>
      <c r="H574" s="12">
        <f t="shared" si="10"/>
        <v>0</v>
      </c>
      <c r="I574" s="1">
        <v>0</v>
      </c>
    </row>
    <row r="575" spans="2:9" hidden="1" x14ac:dyDescent="0.25">
      <c r="B575" s="43" t="s">
        <v>298</v>
      </c>
      <c r="C575" s="43" t="s">
        <v>446</v>
      </c>
      <c r="D575" s="26" t="s">
        <v>277</v>
      </c>
      <c r="E575" s="41">
        <v>11050</v>
      </c>
      <c r="F575" s="12"/>
      <c r="G575" s="12"/>
      <c r="H575" s="12">
        <f t="shared" si="10"/>
        <v>0</v>
      </c>
      <c r="I575" s="1">
        <v>0</v>
      </c>
    </row>
    <row r="576" spans="2:9" hidden="1" x14ac:dyDescent="0.25">
      <c r="B576" s="43" t="s">
        <v>299</v>
      </c>
      <c r="C576" s="43" t="s">
        <v>446</v>
      </c>
      <c r="D576" s="26" t="s">
        <v>278</v>
      </c>
      <c r="E576" s="41">
        <v>6550</v>
      </c>
      <c r="F576" s="12"/>
      <c r="G576" s="12"/>
      <c r="H576" s="12">
        <f t="shared" si="10"/>
        <v>0</v>
      </c>
      <c r="I576" s="1">
        <v>0</v>
      </c>
    </row>
    <row r="577" spans="2:9" hidden="1" x14ac:dyDescent="0.25">
      <c r="B577" s="16" t="s">
        <v>309</v>
      </c>
      <c r="C577" s="43" t="s">
        <v>446</v>
      </c>
      <c r="D577" s="26" t="s">
        <v>279</v>
      </c>
      <c r="E577" s="41">
        <v>6550</v>
      </c>
      <c r="F577" s="12"/>
      <c r="G577" s="12"/>
      <c r="H577" s="12">
        <f t="shared" si="10"/>
        <v>0</v>
      </c>
      <c r="I577" s="1">
        <v>0</v>
      </c>
    </row>
    <row r="578" spans="2:9" hidden="1" x14ac:dyDescent="0.25">
      <c r="B578" s="16" t="s">
        <v>310</v>
      </c>
      <c r="C578" s="43" t="s">
        <v>446</v>
      </c>
      <c r="D578" s="26" t="s">
        <v>280</v>
      </c>
      <c r="E578" s="41">
        <v>6550</v>
      </c>
      <c r="F578" s="12"/>
      <c r="G578" s="12"/>
      <c r="H578" s="12">
        <f t="shared" si="10"/>
        <v>0</v>
      </c>
      <c r="I578" s="1">
        <v>0</v>
      </c>
    </row>
    <row r="579" spans="2:9" hidden="1" x14ac:dyDescent="0.25">
      <c r="B579" s="43" t="s">
        <v>300</v>
      </c>
      <c r="C579" s="43" t="s">
        <v>446</v>
      </c>
      <c r="D579" s="26" t="s">
        <v>281</v>
      </c>
      <c r="E579" s="41">
        <v>6550</v>
      </c>
      <c r="F579" s="12"/>
      <c r="G579" s="12"/>
      <c r="H579" s="12">
        <f t="shared" si="10"/>
        <v>0</v>
      </c>
      <c r="I579" s="1">
        <v>0</v>
      </c>
    </row>
    <row r="580" spans="2:9" hidden="1" x14ac:dyDescent="0.25">
      <c r="B580" s="43" t="s">
        <v>301</v>
      </c>
      <c r="C580" s="43" t="s">
        <v>446</v>
      </c>
      <c r="D580" s="26" t="s">
        <v>282</v>
      </c>
      <c r="E580" s="41">
        <v>6550</v>
      </c>
      <c r="F580" s="12"/>
      <c r="G580" s="12"/>
      <c r="H580" s="12">
        <f t="shared" si="10"/>
        <v>0</v>
      </c>
      <c r="I580" s="1">
        <v>0</v>
      </c>
    </row>
    <row r="581" spans="2:9" hidden="1" x14ac:dyDescent="0.25">
      <c r="B581" s="43" t="s">
        <v>311</v>
      </c>
      <c r="C581" s="43" t="s">
        <v>446</v>
      </c>
      <c r="D581" s="26" t="s">
        <v>283</v>
      </c>
      <c r="E581" s="41">
        <v>6550</v>
      </c>
      <c r="F581" s="11"/>
      <c r="G581" s="11"/>
      <c r="H581" s="12">
        <f t="shared" si="10"/>
        <v>0</v>
      </c>
      <c r="I581" s="1">
        <v>0</v>
      </c>
    </row>
    <row r="582" spans="2:9" hidden="1" x14ac:dyDescent="0.25">
      <c r="B582" s="43" t="s">
        <v>312</v>
      </c>
      <c r="C582" s="43" t="s">
        <v>446</v>
      </c>
      <c r="D582" s="26" t="s">
        <v>284</v>
      </c>
      <c r="E582" s="41">
        <v>6550</v>
      </c>
      <c r="F582" s="11"/>
      <c r="G582" s="11"/>
      <c r="H582" s="12">
        <f t="shared" si="10"/>
        <v>0</v>
      </c>
      <c r="I582" s="1">
        <v>0</v>
      </c>
    </row>
    <row r="583" spans="2:9" hidden="1" x14ac:dyDescent="0.25">
      <c r="B583" s="43" t="s">
        <v>302</v>
      </c>
      <c r="C583" s="43" t="s">
        <v>446</v>
      </c>
      <c r="D583" s="26" t="s">
        <v>285</v>
      </c>
      <c r="E583" s="41">
        <v>16200</v>
      </c>
      <c r="F583" s="11"/>
      <c r="G583" s="11"/>
      <c r="H583" s="12">
        <f t="shared" si="10"/>
        <v>0</v>
      </c>
      <c r="I583" s="1">
        <v>0</v>
      </c>
    </row>
    <row r="584" spans="2:9" hidden="1" x14ac:dyDescent="0.25">
      <c r="B584" s="43" t="s">
        <v>303</v>
      </c>
      <c r="C584" s="43" t="s">
        <v>446</v>
      </c>
      <c r="D584" s="26" t="s">
        <v>286</v>
      </c>
      <c r="E584" s="41">
        <v>9675</v>
      </c>
      <c r="F584" s="11"/>
      <c r="G584" s="11"/>
      <c r="H584" s="12">
        <f t="shared" si="10"/>
        <v>0</v>
      </c>
      <c r="I584" s="1">
        <v>0</v>
      </c>
    </row>
    <row r="585" spans="2:9" hidden="1" x14ac:dyDescent="0.25">
      <c r="B585" s="43" t="s">
        <v>313</v>
      </c>
      <c r="C585" s="43" t="s">
        <v>446</v>
      </c>
      <c r="D585" s="26" t="s">
        <v>287</v>
      </c>
      <c r="E585" s="41">
        <v>9675</v>
      </c>
      <c r="F585" s="29"/>
      <c r="G585" s="29"/>
      <c r="H585" s="12">
        <f t="shared" si="10"/>
        <v>0</v>
      </c>
      <c r="I585" s="1">
        <v>0</v>
      </c>
    </row>
    <row r="586" spans="2:9" hidden="1" x14ac:dyDescent="0.25">
      <c r="B586" s="43" t="s">
        <v>292</v>
      </c>
      <c r="C586" s="43" t="s">
        <v>446</v>
      </c>
      <c r="D586" s="26" t="s">
        <v>288</v>
      </c>
      <c r="E586" s="41">
        <v>5200</v>
      </c>
      <c r="F586" s="12"/>
      <c r="G586" s="12"/>
      <c r="H586" s="12">
        <f t="shared" si="10"/>
        <v>0</v>
      </c>
      <c r="I586" s="1">
        <v>0</v>
      </c>
    </row>
    <row r="587" spans="2:9" hidden="1" x14ac:dyDescent="0.25">
      <c r="B587" s="43" t="s">
        <v>314</v>
      </c>
      <c r="C587" s="43" t="s">
        <v>446</v>
      </c>
      <c r="D587" s="26" t="s">
        <v>289</v>
      </c>
      <c r="E587" s="41">
        <v>16200</v>
      </c>
      <c r="F587" s="12"/>
      <c r="G587" s="12"/>
      <c r="H587" s="12">
        <f t="shared" si="10"/>
        <v>0</v>
      </c>
      <c r="I587" s="1">
        <v>0</v>
      </c>
    </row>
    <row r="588" spans="2:9" hidden="1" x14ac:dyDescent="0.25">
      <c r="B588" s="43" t="s">
        <v>315</v>
      </c>
      <c r="C588" s="43" t="s">
        <v>446</v>
      </c>
      <c r="D588" s="26" t="s">
        <v>290</v>
      </c>
      <c r="E588" s="41">
        <v>16200</v>
      </c>
      <c r="F588" s="12"/>
      <c r="G588" s="12"/>
      <c r="H588" s="12">
        <f t="shared" si="10"/>
        <v>0</v>
      </c>
      <c r="I588" s="1">
        <v>0</v>
      </c>
    </row>
    <row r="589" spans="2:9" hidden="1" x14ac:dyDescent="0.25">
      <c r="B589" s="16" t="s">
        <v>316</v>
      </c>
      <c r="C589" s="43" t="s">
        <v>446</v>
      </c>
      <c r="D589" s="26" t="s">
        <v>291</v>
      </c>
      <c r="E589" s="42">
        <v>5200</v>
      </c>
      <c r="F589" s="12"/>
      <c r="G589" s="12"/>
      <c r="H589" s="12">
        <f t="shared" si="10"/>
        <v>0</v>
      </c>
      <c r="I589" s="1">
        <v>0</v>
      </c>
    </row>
    <row r="590" spans="2:9" hidden="1" x14ac:dyDescent="0.25">
      <c r="B590" s="14"/>
      <c r="C590" s="14"/>
      <c r="D590" s="26" t="s">
        <v>88</v>
      </c>
      <c r="E590" s="10">
        <v>3182</v>
      </c>
      <c r="F590" s="12"/>
      <c r="G590" s="12"/>
      <c r="H590" s="12">
        <f t="shared" si="10"/>
        <v>0</v>
      </c>
      <c r="I590" s="1">
        <v>0</v>
      </c>
    </row>
    <row r="591" spans="2:9" hidden="1" x14ac:dyDescent="0.25">
      <c r="B591" s="14"/>
      <c r="C591" s="14"/>
      <c r="D591" s="26" t="s">
        <v>89</v>
      </c>
      <c r="E591" s="10"/>
      <c r="F591" s="19"/>
      <c r="G591" s="19"/>
      <c r="H591" s="12">
        <f t="shared" si="10"/>
        <v>0</v>
      </c>
      <c r="I591" s="1">
        <v>0</v>
      </c>
    </row>
    <row r="592" spans="2:9" hidden="1" x14ac:dyDescent="0.25">
      <c r="B592" s="14"/>
      <c r="C592" s="14"/>
      <c r="D592" s="26" t="s">
        <v>90</v>
      </c>
      <c r="E592" s="10"/>
      <c r="F592" s="19"/>
      <c r="G592" s="19"/>
      <c r="H592" s="12">
        <f t="shared" si="10"/>
        <v>0</v>
      </c>
      <c r="I592" s="1">
        <v>0</v>
      </c>
    </row>
    <row r="593" spans="2:9" hidden="1" x14ac:dyDescent="0.25">
      <c r="B593" s="14"/>
      <c r="C593" s="14"/>
      <c r="D593" s="26" t="s">
        <v>91</v>
      </c>
      <c r="E593" s="10"/>
      <c r="F593" s="19"/>
      <c r="G593" s="19"/>
      <c r="H593" s="12">
        <f t="shared" si="10"/>
        <v>0</v>
      </c>
      <c r="I593" s="1">
        <v>0</v>
      </c>
    </row>
    <row r="594" spans="2:9" hidden="1" x14ac:dyDescent="0.25">
      <c r="B594" s="14"/>
      <c r="C594" s="14"/>
      <c r="D594" s="26" t="s">
        <v>92</v>
      </c>
      <c r="E594" s="10"/>
      <c r="F594" s="19"/>
      <c r="G594" s="19"/>
      <c r="H594" s="12">
        <f t="shared" si="10"/>
        <v>0</v>
      </c>
      <c r="I594" s="1">
        <v>0</v>
      </c>
    </row>
    <row r="595" spans="2:9" hidden="1" x14ac:dyDescent="0.25">
      <c r="B595" s="14"/>
      <c r="C595" s="14"/>
      <c r="D595" s="26" t="s">
        <v>93</v>
      </c>
      <c r="E595" s="10"/>
      <c r="F595" s="19"/>
      <c r="G595" s="19"/>
      <c r="H595" s="12">
        <f t="shared" si="10"/>
        <v>0</v>
      </c>
      <c r="I595" s="1">
        <v>0</v>
      </c>
    </row>
    <row r="596" spans="2:9" hidden="1" x14ac:dyDescent="0.25">
      <c r="B596" s="14" t="s">
        <v>94</v>
      </c>
      <c r="C596" s="56" t="s">
        <v>443</v>
      </c>
      <c r="D596" s="27" t="s">
        <v>95</v>
      </c>
      <c r="E596" s="18">
        <v>220</v>
      </c>
      <c r="F596" s="15"/>
      <c r="G596" s="15"/>
      <c r="H596" s="18">
        <f t="shared" si="10"/>
        <v>0</v>
      </c>
      <c r="I596" s="1">
        <v>0</v>
      </c>
    </row>
    <row r="597" spans="2:9" hidden="1" x14ac:dyDescent="0.25">
      <c r="B597" s="14" t="s">
        <v>96</v>
      </c>
      <c r="C597" s="56" t="s">
        <v>443</v>
      </c>
      <c r="D597" s="26" t="s">
        <v>97</v>
      </c>
      <c r="E597" s="10">
        <v>220</v>
      </c>
      <c r="F597" s="15"/>
      <c r="G597" s="15"/>
      <c r="H597" s="10">
        <f t="shared" si="10"/>
        <v>0</v>
      </c>
      <c r="I597" s="1">
        <v>0</v>
      </c>
    </row>
    <row r="598" spans="2:9" hidden="1" x14ac:dyDescent="0.25">
      <c r="B598" s="14" t="s">
        <v>98</v>
      </c>
      <c r="C598" s="56" t="s">
        <v>443</v>
      </c>
      <c r="D598" s="26" t="s">
        <v>99</v>
      </c>
      <c r="E598" s="10">
        <v>220</v>
      </c>
      <c r="F598" s="15"/>
      <c r="G598" s="15"/>
      <c r="H598" s="10">
        <f t="shared" si="10"/>
        <v>0</v>
      </c>
      <c r="I598" s="1">
        <v>0</v>
      </c>
    </row>
    <row r="599" spans="2:9" hidden="1" x14ac:dyDescent="0.25">
      <c r="B599" s="14" t="s">
        <v>100</v>
      </c>
      <c r="C599" s="56" t="s">
        <v>443</v>
      </c>
      <c r="D599" s="26" t="s">
        <v>101</v>
      </c>
      <c r="E599" s="10">
        <v>220</v>
      </c>
      <c r="F599" s="11"/>
      <c r="G599" s="11"/>
      <c r="H599" s="12">
        <f t="shared" si="10"/>
        <v>0</v>
      </c>
      <c r="I599" s="1">
        <v>0</v>
      </c>
    </row>
    <row r="600" spans="2:9" hidden="1" x14ac:dyDescent="0.25">
      <c r="B600" s="14" t="s">
        <v>102</v>
      </c>
      <c r="C600" s="56" t="s">
        <v>443</v>
      </c>
      <c r="D600" s="26" t="s">
        <v>103</v>
      </c>
      <c r="E600" s="10">
        <v>220</v>
      </c>
      <c r="F600" s="11"/>
      <c r="G600" s="11"/>
      <c r="H600" s="12">
        <f t="shared" si="10"/>
        <v>0</v>
      </c>
      <c r="I600" s="1">
        <v>0</v>
      </c>
    </row>
    <row r="601" spans="2:9" hidden="1" x14ac:dyDescent="0.25">
      <c r="B601" s="14" t="s">
        <v>104</v>
      </c>
      <c r="C601" s="56" t="s">
        <v>443</v>
      </c>
      <c r="D601" s="26" t="s">
        <v>105</v>
      </c>
      <c r="E601" s="10">
        <v>220</v>
      </c>
      <c r="F601" s="15"/>
      <c r="G601" s="15"/>
      <c r="H601" s="10">
        <f t="shared" ref="H601:H666" si="11">+F601*E601</f>
        <v>0</v>
      </c>
      <c r="I601" s="1">
        <v>0</v>
      </c>
    </row>
    <row r="602" spans="2:9" hidden="1" x14ac:dyDescent="0.25">
      <c r="B602" s="14" t="s">
        <v>106</v>
      </c>
      <c r="C602" s="56" t="s">
        <v>443</v>
      </c>
      <c r="D602" s="26" t="s">
        <v>107</v>
      </c>
      <c r="E602" s="10">
        <v>1800</v>
      </c>
      <c r="F602" s="15"/>
      <c r="G602" s="15"/>
      <c r="H602" s="10">
        <f t="shared" si="11"/>
        <v>0</v>
      </c>
      <c r="I602" s="1">
        <v>0</v>
      </c>
    </row>
    <row r="603" spans="2:9" hidden="1" x14ac:dyDescent="0.25">
      <c r="B603" s="14" t="s">
        <v>108</v>
      </c>
      <c r="C603" s="56" t="s">
        <v>443</v>
      </c>
      <c r="D603" s="26" t="s">
        <v>109</v>
      </c>
      <c r="E603" s="10">
        <v>1800</v>
      </c>
      <c r="F603" s="15"/>
      <c r="G603" s="15"/>
      <c r="H603" s="10">
        <f t="shared" si="11"/>
        <v>0</v>
      </c>
      <c r="I603" s="1">
        <v>0</v>
      </c>
    </row>
    <row r="604" spans="2:9" hidden="1" x14ac:dyDescent="0.25">
      <c r="B604" s="14" t="s">
        <v>110</v>
      </c>
      <c r="C604" s="56" t="s">
        <v>443</v>
      </c>
      <c r="D604" s="26" t="s">
        <v>111</v>
      </c>
      <c r="E604" s="10">
        <v>1800</v>
      </c>
      <c r="F604" s="15"/>
      <c r="G604" s="15"/>
      <c r="H604" s="10">
        <f t="shared" si="11"/>
        <v>0</v>
      </c>
      <c r="I604" s="1">
        <v>0</v>
      </c>
    </row>
    <row r="605" spans="2:9" hidden="1" x14ac:dyDescent="0.25">
      <c r="B605" s="14" t="s">
        <v>112</v>
      </c>
      <c r="C605" s="56" t="s">
        <v>443</v>
      </c>
      <c r="D605" s="26" t="s">
        <v>113</v>
      </c>
      <c r="E605" s="10">
        <v>1800</v>
      </c>
      <c r="F605" s="15"/>
      <c r="G605" s="15"/>
      <c r="H605" s="10">
        <f t="shared" si="11"/>
        <v>0</v>
      </c>
      <c r="I605" s="1">
        <v>0</v>
      </c>
    </row>
    <row r="606" spans="2:9" hidden="1" x14ac:dyDescent="0.25">
      <c r="B606" s="14" t="s">
        <v>114</v>
      </c>
      <c r="C606" s="56" t="s">
        <v>443</v>
      </c>
      <c r="D606" s="26" t="s">
        <v>115</v>
      </c>
      <c r="E606" s="10">
        <v>1800</v>
      </c>
      <c r="F606" s="15"/>
      <c r="G606" s="15"/>
      <c r="H606" s="10">
        <f t="shared" si="11"/>
        <v>0</v>
      </c>
      <c r="I606" s="1">
        <v>0</v>
      </c>
    </row>
    <row r="607" spans="2:9" hidden="1" x14ac:dyDescent="0.25">
      <c r="B607" s="14" t="s">
        <v>116</v>
      </c>
      <c r="C607" s="56" t="s">
        <v>443</v>
      </c>
      <c r="D607" s="26" t="s">
        <v>117</v>
      </c>
      <c r="E607" s="10">
        <v>1410</v>
      </c>
      <c r="F607" s="15"/>
      <c r="G607" s="15"/>
      <c r="H607" s="10">
        <f t="shared" si="11"/>
        <v>0</v>
      </c>
      <c r="I607" s="1">
        <v>0</v>
      </c>
    </row>
    <row r="608" spans="2:9" hidden="1" x14ac:dyDescent="0.25">
      <c r="B608" s="14" t="s">
        <v>118</v>
      </c>
      <c r="C608" s="56" t="s">
        <v>443</v>
      </c>
      <c r="D608" s="26" t="s">
        <v>119</v>
      </c>
      <c r="E608" s="10">
        <v>1410</v>
      </c>
      <c r="F608" s="11"/>
      <c r="G608" s="11"/>
      <c r="H608" s="12">
        <f t="shared" si="11"/>
        <v>0</v>
      </c>
      <c r="I608" s="1">
        <v>0</v>
      </c>
    </row>
    <row r="609" spans="2:9" hidden="1" x14ac:dyDescent="0.25">
      <c r="B609" s="14" t="s">
        <v>120</v>
      </c>
      <c r="C609" s="56" t="s">
        <v>443</v>
      </c>
      <c r="D609" s="26" t="s">
        <v>121</v>
      </c>
      <c r="E609" s="10">
        <v>1410</v>
      </c>
      <c r="F609" s="11"/>
      <c r="G609" s="11"/>
      <c r="H609" s="12">
        <f t="shared" si="11"/>
        <v>0</v>
      </c>
      <c r="I609" s="1">
        <v>0</v>
      </c>
    </row>
    <row r="610" spans="2:9" hidden="1" x14ac:dyDescent="0.25">
      <c r="B610" s="14" t="s">
        <v>122</v>
      </c>
      <c r="C610" s="56" t="s">
        <v>443</v>
      </c>
      <c r="D610" s="26" t="s">
        <v>123</v>
      </c>
      <c r="E610" s="10">
        <v>1410</v>
      </c>
      <c r="F610" s="15"/>
      <c r="G610" s="15"/>
      <c r="H610" s="10">
        <f t="shared" si="11"/>
        <v>0</v>
      </c>
      <c r="I610" s="1">
        <v>0</v>
      </c>
    </row>
    <row r="611" spans="2:9" hidden="1" x14ac:dyDescent="0.25">
      <c r="B611" s="14" t="s">
        <v>124</v>
      </c>
      <c r="C611" s="56" t="s">
        <v>443</v>
      </c>
      <c r="D611" s="26" t="s">
        <v>125</v>
      </c>
      <c r="E611" s="10">
        <v>1410</v>
      </c>
      <c r="F611" s="11"/>
      <c r="G611" s="11"/>
      <c r="H611" s="12">
        <f t="shared" si="11"/>
        <v>0</v>
      </c>
      <c r="I611" s="1">
        <v>0</v>
      </c>
    </row>
    <row r="612" spans="2:9" hidden="1" x14ac:dyDescent="0.25">
      <c r="B612" s="14" t="s">
        <v>126</v>
      </c>
      <c r="C612" s="56" t="s">
        <v>443</v>
      </c>
      <c r="D612" s="26" t="s">
        <v>127</v>
      </c>
      <c r="E612" s="10">
        <v>1410</v>
      </c>
      <c r="F612" s="15"/>
      <c r="G612" s="15"/>
      <c r="H612" s="10">
        <f t="shared" si="11"/>
        <v>0</v>
      </c>
      <c r="I612" s="1">
        <v>0</v>
      </c>
    </row>
    <row r="613" spans="2:9" hidden="1" x14ac:dyDescent="0.25">
      <c r="B613" s="14" t="s">
        <v>128</v>
      </c>
      <c r="C613" s="56" t="s">
        <v>443</v>
      </c>
      <c r="D613" s="26" t="s">
        <v>129</v>
      </c>
      <c r="E613" s="10">
        <v>1800</v>
      </c>
      <c r="F613" s="15"/>
      <c r="G613" s="15"/>
      <c r="H613" s="10">
        <f t="shared" si="11"/>
        <v>0</v>
      </c>
      <c r="I613" s="1">
        <v>0</v>
      </c>
    </row>
    <row r="614" spans="2:9" hidden="1" x14ac:dyDescent="0.25">
      <c r="B614" s="14" t="s">
        <v>130</v>
      </c>
      <c r="C614" s="56" t="s">
        <v>443</v>
      </c>
      <c r="D614" s="27" t="s">
        <v>131</v>
      </c>
      <c r="E614" s="18">
        <v>2300</v>
      </c>
      <c r="F614" s="15"/>
      <c r="G614" s="15"/>
      <c r="H614" s="18">
        <f t="shared" si="11"/>
        <v>0</v>
      </c>
      <c r="I614" s="1">
        <v>0</v>
      </c>
    </row>
    <row r="615" spans="2:9" hidden="1" x14ac:dyDescent="0.25">
      <c r="B615" s="14" t="s">
        <v>132</v>
      </c>
      <c r="C615" s="56" t="s">
        <v>443</v>
      </c>
      <c r="D615" s="26" t="s">
        <v>133</v>
      </c>
      <c r="E615" s="10">
        <v>2255</v>
      </c>
      <c r="F615" s="15"/>
      <c r="G615" s="15"/>
      <c r="H615" s="10">
        <f t="shared" si="11"/>
        <v>0</v>
      </c>
      <c r="I615" s="1">
        <v>0</v>
      </c>
    </row>
    <row r="616" spans="2:9" hidden="1" x14ac:dyDescent="0.25">
      <c r="B616" s="14" t="s">
        <v>134</v>
      </c>
      <c r="C616" s="56" t="s">
        <v>443</v>
      </c>
      <c r="D616" s="27" t="s">
        <v>135</v>
      </c>
      <c r="E616" s="18">
        <v>2300</v>
      </c>
      <c r="F616" s="15"/>
      <c r="G616" s="15"/>
      <c r="H616" s="18">
        <f t="shared" si="11"/>
        <v>0</v>
      </c>
      <c r="I616" s="1">
        <v>0</v>
      </c>
    </row>
    <row r="617" spans="2:9" hidden="1" x14ac:dyDescent="0.25">
      <c r="B617" s="14" t="s">
        <v>136</v>
      </c>
      <c r="C617" s="56" t="s">
        <v>443</v>
      </c>
      <c r="D617" s="27" t="s">
        <v>137</v>
      </c>
      <c r="E617" s="18">
        <v>2300</v>
      </c>
      <c r="F617" s="15"/>
      <c r="G617" s="15"/>
      <c r="H617" s="18">
        <f t="shared" si="11"/>
        <v>0</v>
      </c>
      <c r="I617" s="1">
        <v>0</v>
      </c>
    </row>
    <row r="618" spans="2:9" hidden="1" x14ac:dyDescent="0.25">
      <c r="B618" s="14" t="s">
        <v>138</v>
      </c>
      <c r="C618" s="56" t="s">
        <v>443</v>
      </c>
      <c r="D618" s="26" t="s">
        <v>139</v>
      </c>
      <c r="E618" s="10">
        <v>2105</v>
      </c>
      <c r="F618" s="11"/>
      <c r="G618" s="11"/>
      <c r="H618" s="12">
        <f t="shared" si="11"/>
        <v>0</v>
      </c>
      <c r="I618" s="1">
        <v>0</v>
      </c>
    </row>
    <row r="619" spans="2:9" hidden="1" x14ac:dyDescent="0.25">
      <c r="B619" s="14" t="s">
        <v>140</v>
      </c>
      <c r="C619" s="56" t="s">
        <v>443</v>
      </c>
      <c r="D619" s="26" t="s">
        <v>141</v>
      </c>
      <c r="E619" s="10">
        <v>2105</v>
      </c>
      <c r="F619" s="11"/>
      <c r="G619" s="11"/>
      <c r="H619" s="12">
        <f t="shared" si="11"/>
        <v>0</v>
      </c>
      <c r="I619" s="1">
        <v>0</v>
      </c>
    </row>
    <row r="620" spans="2:9" hidden="1" x14ac:dyDescent="0.25">
      <c r="B620" s="14">
        <v>1</v>
      </c>
      <c r="C620" s="56" t="s">
        <v>443</v>
      </c>
      <c r="D620" s="26">
        <v>1</v>
      </c>
      <c r="E620" s="10"/>
      <c r="F620" s="11"/>
      <c r="G620" s="11"/>
      <c r="H620" s="12">
        <f t="shared" si="11"/>
        <v>0</v>
      </c>
      <c r="I620" s="1">
        <v>0</v>
      </c>
    </row>
    <row r="621" spans="2:9" hidden="1" x14ac:dyDescent="0.25">
      <c r="B621" s="14" t="s">
        <v>142</v>
      </c>
      <c r="C621" s="56" t="s">
        <v>443</v>
      </c>
      <c r="D621" s="27" t="s">
        <v>143</v>
      </c>
      <c r="E621" s="14">
        <v>2300</v>
      </c>
      <c r="F621" s="45"/>
      <c r="G621" s="45"/>
      <c r="H621" s="18">
        <f t="shared" si="11"/>
        <v>0</v>
      </c>
      <c r="I621" s="1">
        <v>0</v>
      </c>
    </row>
    <row r="622" spans="2:9" hidden="1" x14ac:dyDescent="0.25">
      <c r="B622" s="14" t="s">
        <v>144</v>
      </c>
      <c r="C622" s="56" t="s">
        <v>443</v>
      </c>
      <c r="D622" s="27" t="s">
        <v>145</v>
      </c>
      <c r="E622" s="18">
        <v>2600</v>
      </c>
      <c r="F622" s="15"/>
      <c r="G622" s="15"/>
      <c r="H622" s="15">
        <f t="shared" si="11"/>
        <v>0</v>
      </c>
      <c r="I622" s="1">
        <v>0</v>
      </c>
    </row>
    <row r="623" spans="2:9" hidden="1" x14ac:dyDescent="0.25">
      <c r="B623" s="14" t="s">
        <v>146</v>
      </c>
      <c r="C623" s="56" t="s">
        <v>443</v>
      </c>
      <c r="D623" s="27" t="s">
        <v>147</v>
      </c>
      <c r="E623" s="18">
        <v>2600</v>
      </c>
      <c r="F623" s="15"/>
      <c r="G623" s="15"/>
      <c r="H623" s="15">
        <f t="shared" si="11"/>
        <v>0</v>
      </c>
      <c r="I623" s="1">
        <v>0</v>
      </c>
    </row>
    <row r="624" spans="2:9" hidden="1" x14ac:dyDescent="0.25">
      <c r="B624" s="14" t="s">
        <v>148</v>
      </c>
      <c r="C624" s="56" t="s">
        <v>443</v>
      </c>
      <c r="D624" s="27" t="s">
        <v>149</v>
      </c>
      <c r="E624" s="18">
        <v>2600</v>
      </c>
      <c r="F624" s="15"/>
      <c r="G624" s="15"/>
      <c r="H624" s="15">
        <f t="shared" si="11"/>
        <v>0</v>
      </c>
      <c r="I624" s="1">
        <v>0</v>
      </c>
    </row>
    <row r="625" spans="2:9" hidden="1" x14ac:dyDescent="0.25">
      <c r="B625" s="14" t="s">
        <v>150</v>
      </c>
      <c r="C625" s="56" t="s">
        <v>443</v>
      </c>
      <c r="D625" s="26" t="s">
        <v>151</v>
      </c>
      <c r="E625" s="10">
        <v>4660</v>
      </c>
      <c r="F625" s="11"/>
      <c r="G625" s="11"/>
      <c r="H625" s="12">
        <f t="shared" si="11"/>
        <v>0</v>
      </c>
      <c r="I625" s="1">
        <v>0</v>
      </c>
    </row>
    <row r="626" spans="2:9" hidden="1" x14ac:dyDescent="0.25">
      <c r="B626" s="14" t="s">
        <v>152</v>
      </c>
      <c r="C626" s="56" t="s">
        <v>443</v>
      </c>
      <c r="D626" s="26" t="s">
        <v>153</v>
      </c>
      <c r="E626" s="10">
        <v>4300</v>
      </c>
      <c r="F626" s="15"/>
      <c r="G626" s="15"/>
      <c r="H626" s="10">
        <f t="shared" si="11"/>
        <v>0</v>
      </c>
      <c r="I626" s="1">
        <v>0</v>
      </c>
    </row>
    <row r="627" spans="2:9" hidden="1" x14ac:dyDescent="0.25">
      <c r="B627" s="14" t="s">
        <v>154</v>
      </c>
      <c r="C627" s="56" t="s">
        <v>443</v>
      </c>
      <c r="D627" s="26" t="s">
        <v>155</v>
      </c>
      <c r="E627" s="10">
        <v>4300</v>
      </c>
      <c r="F627" s="15"/>
      <c r="G627" s="15"/>
      <c r="H627" s="10">
        <f t="shared" si="11"/>
        <v>0</v>
      </c>
      <c r="I627" s="1">
        <v>0</v>
      </c>
    </row>
    <row r="628" spans="2:9" hidden="1" x14ac:dyDescent="0.25">
      <c r="B628" s="14" t="s">
        <v>156</v>
      </c>
      <c r="C628" s="56" t="s">
        <v>443</v>
      </c>
      <c r="D628" s="27" t="s">
        <v>157</v>
      </c>
      <c r="E628" s="10">
        <v>4300</v>
      </c>
      <c r="F628" s="15"/>
      <c r="G628" s="15"/>
      <c r="H628" s="15">
        <f t="shared" si="11"/>
        <v>0</v>
      </c>
      <c r="I628" s="1">
        <v>0</v>
      </c>
    </row>
    <row r="629" spans="2:9" hidden="1" x14ac:dyDescent="0.25">
      <c r="B629" s="14" t="s">
        <v>158</v>
      </c>
      <c r="C629" s="56" t="s">
        <v>443</v>
      </c>
      <c r="D629" s="27" t="s">
        <v>159</v>
      </c>
      <c r="E629" s="10">
        <v>4300</v>
      </c>
      <c r="F629" s="15"/>
      <c r="G629" s="15"/>
      <c r="H629" s="15">
        <f t="shared" si="11"/>
        <v>0</v>
      </c>
      <c r="I629" s="1">
        <v>0</v>
      </c>
    </row>
    <row r="630" spans="2:9" hidden="1" x14ac:dyDescent="0.25">
      <c r="B630" s="14" t="s">
        <v>160</v>
      </c>
      <c r="C630" s="56" t="s">
        <v>443</v>
      </c>
      <c r="D630" s="26" t="s">
        <v>161</v>
      </c>
      <c r="E630" s="10">
        <v>4660</v>
      </c>
      <c r="F630" s="11"/>
      <c r="G630" s="11"/>
      <c r="H630" s="12">
        <f t="shared" si="11"/>
        <v>0</v>
      </c>
      <c r="I630" s="1">
        <v>0</v>
      </c>
    </row>
    <row r="631" spans="2:9" hidden="1" x14ac:dyDescent="0.25">
      <c r="B631" s="14" t="s">
        <v>162</v>
      </c>
      <c r="C631" s="56" t="s">
        <v>443</v>
      </c>
      <c r="D631" s="27" t="s">
        <v>163</v>
      </c>
      <c r="E631" s="10">
        <v>4300</v>
      </c>
      <c r="F631" s="15"/>
      <c r="G631" s="15"/>
      <c r="H631" s="15">
        <f t="shared" si="11"/>
        <v>0</v>
      </c>
      <c r="I631" s="1">
        <v>0</v>
      </c>
    </row>
    <row r="632" spans="2:9" hidden="1" x14ac:dyDescent="0.25">
      <c r="B632" s="14" t="s">
        <v>164</v>
      </c>
      <c r="C632" s="56" t="s">
        <v>443</v>
      </c>
      <c r="D632" s="27" t="s">
        <v>165</v>
      </c>
      <c r="E632" s="10">
        <v>4300</v>
      </c>
      <c r="F632" s="15"/>
      <c r="G632" s="15"/>
      <c r="H632" s="15">
        <f t="shared" si="11"/>
        <v>0</v>
      </c>
      <c r="I632" s="1">
        <v>0</v>
      </c>
    </row>
    <row r="633" spans="2:9" hidden="1" x14ac:dyDescent="0.25">
      <c r="B633" s="14" t="s">
        <v>166</v>
      </c>
      <c r="C633" s="56" t="s">
        <v>443</v>
      </c>
      <c r="D633" s="27" t="s">
        <v>167</v>
      </c>
      <c r="E633" s="10">
        <v>4300</v>
      </c>
      <c r="F633" s="15"/>
      <c r="G633" s="15"/>
      <c r="H633" s="15">
        <f t="shared" si="11"/>
        <v>0</v>
      </c>
      <c r="I633" s="1">
        <v>0</v>
      </c>
    </row>
    <row r="634" spans="2:9" hidden="1" x14ac:dyDescent="0.25">
      <c r="B634" s="14" t="s">
        <v>168</v>
      </c>
      <c r="C634" s="56" t="s">
        <v>443</v>
      </c>
      <c r="D634" s="27" t="s">
        <v>169</v>
      </c>
      <c r="E634" s="10">
        <v>4300</v>
      </c>
      <c r="F634" s="15"/>
      <c r="G634" s="15"/>
      <c r="H634" s="15">
        <f t="shared" si="11"/>
        <v>0</v>
      </c>
      <c r="I634" s="1">
        <v>0</v>
      </c>
    </row>
    <row r="635" spans="2:9" hidden="1" x14ac:dyDescent="0.25">
      <c r="B635" s="14" t="s">
        <v>170</v>
      </c>
      <c r="C635" s="56" t="s">
        <v>443</v>
      </c>
      <c r="D635" s="27" t="s">
        <v>171</v>
      </c>
      <c r="E635" s="10">
        <v>4300</v>
      </c>
      <c r="F635" s="15"/>
      <c r="G635" s="15"/>
      <c r="H635" s="15">
        <f t="shared" si="11"/>
        <v>0</v>
      </c>
      <c r="I635" s="1">
        <v>0</v>
      </c>
    </row>
    <row r="636" spans="2:9" hidden="1" x14ac:dyDescent="0.25">
      <c r="B636" s="14" t="s">
        <v>172</v>
      </c>
      <c r="C636" s="56" t="s">
        <v>447</v>
      </c>
      <c r="D636" s="26" t="s">
        <v>173</v>
      </c>
      <c r="E636" s="10">
        <v>2900</v>
      </c>
      <c r="F636" s="15"/>
      <c r="G636" s="15"/>
      <c r="H636" s="10">
        <f t="shared" si="11"/>
        <v>0</v>
      </c>
      <c r="I636" s="1">
        <v>0</v>
      </c>
    </row>
    <row r="637" spans="2:9" hidden="1" x14ac:dyDescent="0.25">
      <c r="B637" s="14" t="s">
        <v>174</v>
      </c>
      <c r="C637" s="56" t="s">
        <v>447</v>
      </c>
      <c r="D637" s="26" t="s">
        <v>175</v>
      </c>
      <c r="E637" s="10">
        <v>3750</v>
      </c>
      <c r="F637" s="12"/>
      <c r="G637" s="12"/>
      <c r="H637" s="12">
        <f t="shared" si="11"/>
        <v>0</v>
      </c>
      <c r="I637" s="1">
        <v>0</v>
      </c>
    </row>
    <row r="638" spans="2:9" hidden="1" x14ac:dyDescent="0.25">
      <c r="B638" s="14" t="s">
        <v>176</v>
      </c>
      <c r="C638" s="56" t="s">
        <v>447</v>
      </c>
      <c r="D638" s="26" t="s">
        <v>177</v>
      </c>
      <c r="E638" s="10">
        <v>3813</v>
      </c>
      <c r="F638" s="11"/>
      <c r="G638" s="11"/>
      <c r="H638" s="12">
        <f t="shared" si="11"/>
        <v>0</v>
      </c>
      <c r="I638" s="1">
        <v>0</v>
      </c>
    </row>
    <row r="639" spans="2:9" hidden="1" x14ac:dyDescent="0.25">
      <c r="B639" s="14"/>
      <c r="C639" s="56" t="s">
        <v>447</v>
      </c>
      <c r="D639" s="27" t="s">
        <v>178</v>
      </c>
      <c r="E639" s="13">
        <v>41591</v>
      </c>
      <c r="F639" s="15"/>
      <c r="G639" s="15"/>
      <c r="H639" s="10">
        <f t="shared" si="11"/>
        <v>0</v>
      </c>
      <c r="I639" s="1">
        <v>0</v>
      </c>
    </row>
    <row r="640" spans="2:9" hidden="1" x14ac:dyDescent="0.25">
      <c r="B640" s="21">
        <v>4820155022889</v>
      </c>
      <c r="C640" s="56" t="s">
        <v>447</v>
      </c>
      <c r="D640" s="27" t="s">
        <v>242</v>
      </c>
      <c r="E640" s="13"/>
      <c r="F640" s="15"/>
      <c r="G640" s="15"/>
      <c r="H640" s="10"/>
      <c r="I640" s="1">
        <v>0</v>
      </c>
    </row>
    <row r="641" spans="2:9" hidden="1" x14ac:dyDescent="0.25">
      <c r="B641" s="14" t="s">
        <v>179</v>
      </c>
      <c r="C641" s="56" t="s">
        <v>447</v>
      </c>
      <c r="D641" s="26" t="s">
        <v>180</v>
      </c>
      <c r="E641" s="10">
        <v>7250</v>
      </c>
      <c r="F641" s="10"/>
      <c r="G641" s="10"/>
      <c r="H641" s="10">
        <f t="shared" si="11"/>
        <v>0</v>
      </c>
      <c r="I641" s="1">
        <v>0</v>
      </c>
    </row>
    <row r="642" spans="2:9" hidden="1" x14ac:dyDescent="0.25">
      <c r="B642" s="14" t="s">
        <v>181</v>
      </c>
      <c r="C642" s="56" t="s">
        <v>448</v>
      </c>
      <c r="D642" s="26" t="s">
        <v>182</v>
      </c>
      <c r="E642" s="10">
        <v>4120</v>
      </c>
      <c r="F642" s="12"/>
      <c r="G642" s="12"/>
      <c r="H642" s="12">
        <f t="shared" si="11"/>
        <v>0</v>
      </c>
      <c r="I642" s="1">
        <v>0</v>
      </c>
    </row>
    <row r="643" spans="2:9" hidden="1" x14ac:dyDescent="0.25">
      <c r="B643" s="14" t="s">
        <v>183</v>
      </c>
      <c r="C643" s="56" t="s">
        <v>448</v>
      </c>
      <c r="D643" s="26" t="s">
        <v>184</v>
      </c>
      <c r="E643" s="10">
        <v>4120</v>
      </c>
      <c r="F643" s="12"/>
      <c r="G643" s="12"/>
      <c r="H643" s="12">
        <f t="shared" si="11"/>
        <v>0</v>
      </c>
      <c r="I643" s="1">
        <v>0</v>
      </c>
    </row>
    <row r="644" spans="2:9" hidden="1" x14ac:dyDescent="0.25">
      <c r="B644" s="14" t="s">
        <v>185</v>
      </c>
      <c r="C644" s="56" t="s">
        <v>448</v>
      </c>
      <c r="D644" s="26" t="s">
        <v>186</v>
      </c>
      <c r="E644" s="10">
        <v>4120</v>
      </c>
      <c r="F644" s="12"/>
      <c r="G644" s="12"/>
      <c r="H644" s="12">
        <f t="shared" si="11"/>
        <v>0</v>
      </c>
      <c r="I644" s="1">
        <v>0</v>
      </c>
    </row>
    <row r="645" spans="2:9" hidden="1" x14ac:dyDescent="0.25">
      <c r="B645" s="14" t="s">
        <v>187</v>
      </c>
      <c r="C645" s="56" t="s">
        <v>448</v>
      </c>
      <c r="D645" s="26" t="s">
        <v>188</v>
      </c>
      <c r="E645" s="10">
        <v>4120</v>
      </c>
      <c r="F645" s="12"/>
      <c r="G645" s="12"/>
      <c r="H645" s="12">
        <f t="shared" si="11"/>
        <v>0</v>
      </c>
      <c r="I645" s="1">
        <v>0</v>
      </c>
    </row>
    <row r="646" spans="2:9" hidden="1" x14ac:dyDescent="0.25">
      <c r="B646" s="14" t="s">
        <v>189</v>
      </c>
      <c r="C646" s="56" t="s">
        <v>448</v>
      </c>
      <c r="D646" s="26" t="s">
        <v>190</v>
      </c>
      <c r="E646" s="10">
        <v>2300</v>
      </c>
      <c r="F646" s="15"/>
      <c r="G646" s="15"/>
      <c r="H646" s="10">
        <f t="shared" si="11"/>
        <v>0</v>
      </c>
      <c r="I646" s="1">
        <v>0</v>
      </c>
    </row>
    <row r="647" spans="2:9" hidden="1" x14ac:dyDescent="0.25">
      <c r="B647" s="14" t="s">
        <v>191</v>
      </c>
      <c r="C647" s="56" t="s">
        <v>448</v>
      </c>
      <c r="D647" s="26" t="s">
        <v>192</v>
      </c>
      <c r="E647" s="10">
        <v>5565</v>
      </c>
      <c r="F647" s="11"/>
      <c r="G647" s="11"/>
      <c r="H647" s="12">
        <f t="shared" si="11"/>
        <v>0</v>
      </c>
      <c r="I647" s="1">
        <v>0</v>
      </c>
    </row>
    <row r="648" spans="2:9" hidden="1" x14ac:dyDescent="0.25">
      <c r="B648" s="14" t="s">
        <v>193</v>
      </c>
      <c r="C648" s="56" t="s">
        <v>448</v>
      </c>
      <c r="D648" s="26" t="s">
        <v>194</v>
      </c>
      <c r="E648" s="10">
        <v>2300</v>
      </c>
      <c r="F648" s="15"/>
      <c r="G648" s="15"/>
      <c r="H648" s="10">
        <f t="shared" si="11"/>
        <v>0</v>
      </c>
      <c r="I648" s="1">
        <v>0</v>
      </c>
    </row>
    <row r="649" spans="2:9" hidden="1" x14ac:dyDescent="0.25">
      <c r="B649" s="14" t="s">
        <v>195</v>
      </c>
      <c r="C649" s="56" t="s">
        <v>448</v>
      </c>
      <c r="D649" s="26" t="s">
        <v>196</v>
      </c>
      <c r="E649" s="10">
        <v>5415</v>
      </c>
      <c r="F649" s="11"/>
      <c r="G649" s="11"/>
      <c r="H649" s="12">
        <f t="shared" si="11"/>
        <v>0</v>
      </c>
      <c r="I649" s="1">
        <v>0</v>
      </c>
    </row>
    <row r="650" spans="2:9" hidden="1" x14ac:dyDescent="0.25">
      <c r="B650" s="14" t="s">
        <v>197</v>
      </c>
      <c r="C650" s="56" t="s">
        <v>448</v>
      </c>
      <c r="D650" s="26" t="s">
        <v>198</v>
      </c>
      <c r="E650" s="10">
        <v>1978</v>
      </c>
      <c r="F650" s="12"/>
      <c r="G650" s="12"/>
      <c r="H650" s="12">
        <f t="shared" si="11"/>
        <v>0</v>
      </c>
      <c r="I650" s="1">
        <v>0</v>
      </c>
    </row>
    <row r="651" spans="2:9" hidden="1" x14ac:dyDescent="0.25">
      <c r="B651" s="14" t="s">
        <v>199</v>
      </c>
      <c r="C651" s="56" t="s">
        <v>448</v>
      </c>
      <c r="D651" s="26" t="s">
        <v>200</v>
      </c>
      <c r="E651" s="10">
        <v>4120</v>
      </c>
      <c r="F651" s="12"/>
      <c r="G651" s="12"/>
      <c r="H651" s="12">
        <f t="shared" si="11"/>
        <v>0</v>
      </c>
      <c r="I651" s="1">
        <v>0</v>
      </c>
    </row>
    <row r="652" spans="2:9" hidden="1" x14ac:dyDescent="0.25">
      <c r="B652" s="14"/>
      <c r="C652" s="53" t="s">
        <v>444</v>
      </c>
      <c r="D652" s="26" t="s">
        <v>201</v>
      </c>
      <c r="E652" s="18">
        <v>71700</v>
      </c>
      <c r="F652" s="45"/>
      <c r="G652" s="45"/>
      <c r="H652" s="45">
        <f t="shared" si="11"/>
        <v>0</v>
      </c>
      <c r="I652" s="1">
        <v>0</v>
      </c>
    </row>
    <row r="653" spans="2:9" hidden="1" x14ac:dyDescent="0.25">
      <c r="B653" s="14"/>
      <c r="C653" s="53" t="s">
        <v>444</v>
      </c>
      <c r="D653" s="27" t="s">
        <v>202</v>
      </c>
      <c r="E653" s="45">
        <v>87450</v>
      </c>
      <c r="F653" s="45"/>
      <c r="G653" s="45"/>
      <c r="H653" s="45">
        <f t="shared" si="11"/>
        <v>0</v>
      </c>
      <c r="I653" s="1">
        <v>0</v>
      </c>
    </row>
    <row r="654" spans="2:9" hidden="1" x14ac:dyDescent="0.25">
      <c r="B654" s="14"/>
      <c r="C654" s="53" t="s">
        <v>444</v>
      </c>
      <c r="D654" s="27" t="s">
        <v>203</v>
      </c>
      <c r="E654" s="14">
        <v>71700</v>
      </c>
      <c r="F654" s="45"/>
      <c r="G654" s="45"/>
      <c r="H654" s="45">
        <f t="shared" si="11"/>
        <v>0</v>
      </c>
      <c r="I654" s="1">
        <v>0</v>
      </c>
    </row>
    <row r="655" spans="2:9" hidden="1" x14ac:dyDescent="0.25">
      <c r="B655" s="14"/>
      <c r="C655" s="53" t="s">
        <v>444</v>
      </c>
      <c r="D655" s="26" t="s">
        <v>204</v>
      </c>
      <c r="E655" s="45">
        <v>71700</v>
      </c>
      <c r="F655" s="45"/>
      <c r="G655" s="45"/>
      <c r="H655" s="45">
        <f t="shared" si="11"/>
        <v>0</v>
      </c>
      <c r="I655" s="1">
        <v>0</v>
      </c>
    </row>
    <row r="656" spans="2:9" hidden="1" x14ac:dyDescent="0.25">
      <c r="B656" s="14"/>
      <c r="C656" s="53" t="s">
        <v>444</v>
      </c>
      <c r="D656" s="27" t="s">
        <v>205</v>
      </c>
      <c r="E656" s="45">
        <v>71700</v>
      </c>
      <c r="F656" s="45"/>
      <c r="G656" s="45"/>
      <c r="H656" s="45">
        <f t="shared" si="11"/>
        <v>0</v>
      </c>
      <c r="I656" s="1">
        <v>0</v>
      </c>
    </row>
    <row r="657" spans="2:9" ht="18" hidden="1" customHeight="1" x14ac:dyDescent="0.25">
      <c r="B657" s="14"/>
      <c r="C657" s="53" t="s">
        <v>444</v>
      </c>
      <c r="D657" s="27" t="s">
        <v>206</v>
      </c>
      <c r="E657" s="18">
        <v>87450</v>
      </c>
      <c r="F657" s="15"/>
      <c r="G657" s="15"/>
      <c r="H657" s="15">
        <f t="shared" si="11"/>
        <v>0</v>
      </c>
      <c r="I657" s="1">
        <v>0</v>
      </c>
    </row>
    <row r="658" spans="2:9" hidden="1" x14ac:dyDescent="0.25">
      <c r="B658" s="14"/>
      <c r="C658" s="53" t="s">
        <v>444</v>
      </c>
      <c r="D658" s="27" t="s">
        <v>207</v>
      </c>
      <c r="E658" s="14">
        <v>87450</v>
      </c>
      <c r="F658" s="45"/>
      <c r="G658" s="45"/>
      <c r="H658" s="45">
        <f t="shared" si="11"/>
        <v>0</v>
      </c>
      <c r="I658" s="1">
        <v>0</v>
      </c>
    </row>
    <row r="659" spans="2:9" ht="16.5" hidden="1" customHeight="1" x14ac:dyDescent="0.25">
      <c r="B659" s="14"/>
      <c r="C659" s="53" t="s">
        <v>444</v>
      </c>
      <c r="D659" s="27" t="s">
        <v>434</v>
      </c>
      <c r="E659" s="14">
        <v>87450</v>
      </c>
      <c r="F659" s="45"/>
      <c r="G659" s="45"/>
      <c r="H659" s="45">
        <f t="shared" si="11"/>
        <v>0</v>
      </c>
      <c r="I659" s="1">
        <v>0</v>
      </c>
    </row>
    <row r="660" spans="2:9" ht="15" hidden="1" customHeight="1" x14ac:dyDescent="0.25">
      <c r="B660" s="14"/>
      <c r="C660" s="53" t="s">
        <v>444</v>
      </c>
      <c r="D660" s="27" t="s">
        <v>208</v>
      </c>
      <c r="E660" s="14">
        <v>87450</v>
      </c>
      <c r="F660" s="45"/>
      <c r="G660" s="45"/>
      <c r="H660" s="45">
        <f t="shared" si="11"/>
        <v>0</v>
      </c>
      <c r="I660" s="1">
        <v>0</v>
      </c>
    </row>
    <row r="661" spans="2:9" hidden="1" x14ac:dyDescent="0.25">
      <c r="B661" s="14"/>
      <c r="C661" s="53" t="s">
        <v>444</v>
      </c>
      <c r="D661" s="27" t="s">
        <v>209</v>
      </c>
      <c r="E661" s="18">
        <v>87450</v>
      </c>
      <c r="F661" s="15"/>
      <c r="G661" s="15"/>
      <c r="H661" s="15">
        <f t="shared" si="11"/>
        <v>0</v>
      </c>
      <c r="I661" s="1">
        <v>0</v>
      </c>
    </row>
    <row r="662" spans="2:9" hidden="1" x14ac:dyDescent="0.25">
      <c r="B662" s="14"/>
      <c r="C662" s="53" t="s">
        <v>444</v>
      </c>
      <c r="D662" s="27" t="s">
        <v>318</v>
      </c>
      <c r="E662" s="14">
        <v>71700</v>
      </c>
      <c r="F662" s="45"/>
      <c r="G662" s="45"/>
      <c r="H662" s="45">
        <f t="shared" si="11"/>
        <v>0</v>
      </c>
      <c r="I662" s="1">
        <v>0</v>
      </c>
    </row>
    <row r="663" spans="2:9" hidden="1" x14ac:dyDescent="0.25">
      <c r="B663" s="14"/>
      <c r="C663" s="53" t="s">
        <v>444</v>
      </c>
      <c r="D663" s="26" t="s">
        <v>210</v>
      </c>
      <c r="E663" s="18">
        <v>71700</v>
      </c>
      <c r="F663" s="45"/>
      <c r="G663" s="45"/>
      <c r="H663" s="45">
        <f t="shared" si="11"/>
        <v>0</v>
      </c>
      <c r="I663" s="1">
        <v>0</v>
      </c>
    </row>
    <row r="664" spans="2:9" hidden="1" x14ac:dyDescent="0.25">
      <c r="B664" s="14"/>
      <c r="C664" s="53" t="s">
        <v>444</v>
      </c>
      <c r="D664" s="27" t="s">
        <v>211</v>
      </c>
      <c r="E664" s="14">
        <v>71700</v>
      </c>
      <c r="F664" s="45"/>
      <c r="G664" s="45"/>
      <c r="H664" s="45">
        <f t="shared" si="11"/>
        <v>0</v>
      </c>
      <c r="I664" s="1">
        <v>0</v>
      </c>
    </row>
    <row r="665" spans="2:9" ht="15.75" hidden="1" customHeight="1" x14ac:dyDescent="0.25">
      <c r="B665" s="14"/>
      <c r="C665" s="53" t="s">
        <v>444</v>
      </c>
      <c r="D665" s="27" t="s">
        <v>319</v>
      </c>
      <c r="E665" s="14">
        <v>71700</v>
      </c>
      <c r="F665" s="45"/>
      <c r="G665" s="45"/>
      <c r="H665" s="14">
        <f t="shared" si="11"/>
        <v>0</v>
      </c>
      <c r="I665" s="1">
        <v>0</v>
      </c>
    </row>
    <row r="666" spans="2:9" hidden="1" x14ac:dyDescent="0.25">
      <c r="B666" s="25"/>
      <c r="C666" s="53" t="s">
        <v>444</v>
      </c>
      <c r="D666" s="31" t="s">
        <v>320</v>
      </c>
      <c r="E666" s="18">
        <v>71000</v>
      </c>
      <c r="F666" s="45"/>
      <c r="G666" s="45"/>
      <c r="H666" s="45">
        <f t="shared" si="11"/>
        <v>0</v>
      </c>
      <c r="I666" s="1">
        <v>0</v>
      </c>
    </row>
    <row r="667" spans="2:9" hidden="1" x14ac:dyDescent="0.25">
      <c r="B667" s="25"/>
      <c r="C667" s="53" t="s">
        <v>444</v>
      </c>
      <c r="D667" s="30" t="s">
        <v>321</v>
      </c>
      <c r="E667" s="14">
        <v>71700</v>
      </c>
      <c r="F667" s="45"/>
      <c r="G667" s="45"/>
      <c r="H667" s="45">
        <f>+F667*E667</f>
        <v>0</v>
      </c>
      <c r="I667" s="1">
        <v>0</v>
      </c>
    </row>
    <row r="668" spans="2:9" hidden="1" x14ac:dyDescent="0.25">
      <c r="B668" s="25"/>
      <c r="C668" s="53" t="s">
        <v>444</v>
      </c>
      <c r="D668" s="30" t="s">
        <v>322</v>
      </c>
      <c r="E668" s="14">
        <v>71700</v>
      </c>
      <c r="F668" s="45"/>
      <c r="G668" s="45"/>
      <c r="H668" s="45">
        <f>+F668*E668</f>
        <v>0</v>
      </c>
      <c r="I668" s="1">
        <v>0</v>
      </c>
    </row>
    <row r="669" spans="2:9" hidden="1" x14ac:dyDescent="0.25">
      <c r="B669" s="25"/>
      <c r="C669" s="53" t="s">
        <v>444</v>
      </c>
      <c r="D669" s="30" t="s">
        <v>323</v>
      </c>
      <c r="E669" s="14">
        <v>71700</v>
      </c>
      <c r="F669" s="45"/>
      <c r="G669" s="45"/>
      <c r="H669" s="45">
        <f>+F669*E669</f>
        <v>0</v>
      </c>
      <c r="I669" s="1">
        <v>0</v>
      </c>
    </row>
    <row r="670" spans="2:9" hidden="1" x14ac:dyDescent="0.25">
      <c r="B670" s="25"/>
      <c r="C670" s="53" t="s">
        <v>444</v>
      </c>
      <c r="D670" s="30" t="s">
        <v>324</v>
      </c>
      <c r="E670" s="14">
        <v>71700</v>
      </c>
      <c r="F670" s="45"/>
      <c r="G670" s="45"/>
      <c r="H670" s="45">
        <f>+F670*E670</f>
        <v>0</v>
      </c>
      <c r="I670" s="1">
        <v>0</v>
      </c>
    </row>
    <row r="671" spans="2:9" hidden="1" x14ac:dyDescent="0.25">
      <c r="B671" s="25"/>
      <c r="C671" s="53" t="s">
        <v>444</v>
      </c>
      <c r="D671" s="30" t="s">
        <v>325</v>
      </c>
      <c r="E671" s="18">
        <v>87450</v>
      </c>
      <c r="F671" s="15"/>
      <c r="G671" s="15"/>
      <c r="H671" s="15">
        <f t="shared" ref="H671:H728" si="12">+F671*E671</f>
        <v>0</v>
      </c>
      <c r="I671" s="1">
        <v>0</v>
      </c>
    </row>
    <row r="672" spans="2:9" hidden="1" x14ac:dyDescent="0.25">
      <c r="B672" s="25"/>
      <c r="C672" s="53" t="s">
        <v>444</v>
      </c>
      <c r="D672" s="30" t="s">
        <v>326</v>
      </c>
      <c r="E672" s="18">
        <v>87450</v>
      </c>
      <c r="F672" s="15"/>
      <c r="G672" s="15"/>
      <c r="H672" s="15">
        <f t="shared" si="12"/>
        <v>0</v>
      </c>
      <c r="I672" s="1">
        <v>0</v>
      </c>
    </row>
    <row r="673" spans="2:9" hidden="1" x14ac:dyDescent="0.25">
      <c r="B673" s="25"/>
      <c r="C673" s="53" t="s">
        <v>444</v>
      </c>
      <c r="D673" s="30" t="s">
        <v>212</v>
      </c>
      <c r="E673" s="18">
        <v>71700</v>
      </c>
      <c r="F673" s="15"/>
      <c r="G673" s="15"/>
      <c r="H673" s="15">
        <f t="shared" si="12"/>
        <v>0</v>
      </c>
      <c r="I673" s="1">
        <v>0</v>
      </c>
    </row>
    <row r="674" spans="2:9" hidden="1" x14ac:dyDescent="0.25">
      <c r="B674" s="32"/>
      <c r="C674" s="53" t="s">
        <v>444</v>
      </c>
      <c r="D674" s="31" t="s">
        <v>213</v>
      </c>
      <c r="E674" s="18">
        <v>87450</v>
      </c>
      <c r="F674" s="48"/>
      <c r="G674" s="48"/>
      <c r="H674" s="45">
        <f t="shared" si="12"/>
        <v>0</v>
      </c>
      <c r="I674" s="1">
        <v>0</v>
      </c>
    </row>
    <row r="675" spans="2:9" hidden="1" x14ac:dyDescent="0.25">
      <c r="B675" s="32"/>
      <c r="C675" s="53" t="s">
        <v>444</v>
      </c>
      <c r="D675" s="30" t="s">
        <v>214</v>
      </c>
      <c r="E675" s="14">
        <v>71700</v>
      </c>
      <c r="F675" s="48"/>
      <c r="G675" s="48"/>
      <c r="H675" s="45">
        <f t="shared" si="12"/>
        <v>0</v>
      </c>
      <c r="I675" s="1">
        <v>0</v>
      </c>
    </row>
    <row r="676" spans="2:9" hidden="1" x14ac:dyDescent="0.25">
      <c r="B676" s="32"/>
      <c r="C676" s="53" t="s">
        <v>444</v>
      </c>
      <c r="D676" s="30" t="s">
        <v>215</v>
      </c>
      <c r="E676" s="14">
        <v>64800</v>
      </c>
      <c r="F676" s="48"/>
      <c r="G676" s="48"/>
      <c r="H676" s="45">
        <f t="shared" si="12"/>
        <v>0</v>
      </c>
      <c r="I676" s="1">
        <v>0</v>
      </c>
    </row>
    <row r="677" spans="2:9" hidden="1" x14ac:dyDescent="0.25">
      <c r="B677" s="32"/>
      <c r="C677" s="53" t="s">
        <v>444</v>
      </c>
      <c r="D677" s="30" t="s">
        <v>216</v>
      </c>
      <c r="E677" s="14">
        <v>64800</v>
      </c>
      <c r="F677" s="48"/>
      <c r="G677" s="48"/>
      <c r="H677" s="45">
        <f t="shared" si="12"/>
        <v>0</v>
      </c>
      <c r="I677" s="1">
        <v>0</v>
      </c>
    </row>
    <row r="678" spans="2:9" hidden="1" x14ac:dyDescent="0.25">
      <c r="B678" s="32"/>
      <c r="C678" s="53" t="s">
        <v>444</v>
      </c>
      <c r="D678" s="30" t="s">
        <v>217</v>
      </c>
      <c r="E678" s="14">
        <v>64800</v>
      </c>
      <c r="F678" s="48"/>
      <c r="G678" s="48"/>
      <c r="H678" s="45">
        <f t="shared" si="12"/>
        <v>0</v>
      </c>
      <c r="I678" s="1">
        <v>0</v>
      </c>
    </row>
    <row r="679" spans="2:9" hidden="1" x14ac:dyDescent="0.25">
      <c r="B679" s="32"/>
      <c r="C679" s="53" t="s">
        <v>444</v>
      </c>
      <c r="D679" s="30" t="s">
        <v>218</v>
      </c>
      <c r="E679" s="14">
        <v>64800</v>
      </c>
      <c r="F679" s="48"/>
      <c r="G679" s="48"/>
      <c r="H679" s="45">
        <f t="shared" si="12"/>
        <v>0</v>
      </c>
      <c r="I679" s="1">
        <v>0</v>
      </c>
    </row>
    <row r="680" spans="2:9" hidden="1" x14ac:dyDescent="0.25">
      <c r="B680" s="32">
        <v>4600583931263</v>
      </c>
      <c r="C680" s="53" t="s">
        <v>444</v>
      </c>
      <c r="D680" s="31" t="s">
        <v>219</v>
      </c>
      <c r="E680" s="18">
        <v>71000</v>
      </c>
      <c r="F680" s="33"/>
      <c r="G680" s="33"/>
      <c r="H680" s="10">
        <f t="shared" si="12"/>
        <v>0</v>
      </c>
      <c r="I680" s="1">
        <v>0</v>
      </c>
    </row>
    <row r="681" spans="2:9" hidden="1" x14ac:dyDescent="0.25">
      <c r="B681" s="32">
        <v>4600583931485</v>
      </c>
      <c r="C681" s="53" t="s">
        <v>444</v>
      </c>
      <c r="D681" s="31" t="s">
        <v>220</v>
      </c>
      <c r="E681" s="18">
        <v>71000</v>
      </c>
      <c r="F681" s="48"/>
      <c r="G681" s="48"/>
      <c r="H681" s="14">
        <f t="shared" si="12"/>
        <v>0</v>
      </c>
      <c r="I681" s="1">
        <v>0</v>
      </c>
    </row>
    <row r="682" spans="2:9" hidden="1" x14ac:dyDescent="0.25">
      <c r="B682" s="32"/>
      <c r="C682" s="53" t="s">
        <v>444</v>
      </c>
      <c r="D682" s="31" t="s">
        <v>327</v>
      </c>
      <c r="E682" s="45">
        <v>103400</v>
      </c>
      <c r="F682" s="48"/>
      <c r="G682" s="48"/>
      <c r="H682" s="45">
        <f t="shared" si="12"/>
        <v>0</v>
      </c>
      <c r="I682" s="1">
        <v>0</v>
      </c>
    </row>
    <row r="683" spans="2:9" hidden="1" x14ac:dyDescent="0.25">
      <c r="B683" s="32"/>
      <c r="C683" s="53" t="s">
        <v>444</v>
      </c>
      <c r="D683" s="31" t="s">
        <v>328</v>
      </c>
      <c r="E683" s="45">
        <v>103400</v>
      </c>
      <c r="F683" s="48"/>
      <c r="G683" s="48"/>
      <c r="H683" s="45">
        <f t="shared" si="12"/>
        <v>0</v>
      </c>
      <c r="I683" s="1">
        <v>0</v>
      </c>
    </row>
    <row r="684" spans="2:9" hidden="1" x14ac:dyDescent="0.25">
      <c r="B684" s="32">
        <v>4600583931621</v>
      </c>
      <c r="C684" s="53" t="s">
        <v>444</v>
      </c>
      <c r="D684" s="31" t="s">
        <v>329</v>
      </c>
      <c r="E684" s="18">
        <v>77500</v>
      </c>
      <c r="F684" s="48"/>
      <c r="G684" s="48"/>
      <c r="H684" s="45">
        <f t="shared" si="12"/>
        <v>0</v>
      </c>
      <c r="I684" s="1">
        <v>0</v>
      </c>
    </row>
    <row r="685" spans="2:9" hidden="1" x14ac:dyDescent="0.25">
      <c r="B685" s="32">
        <v>4600583931324</v>
      </c>
      <c r="C685" s="53" t="s">
        <v>444</v>
      </c>
      <c r="D685" s="31" t="s">
        <v>330</v>
      </c>
      <c r="E685" s="18">
        <v>77500</v>
      </c>
      <c r="F685" s="48"/>
      <c r="G685" s="48"/>
      <c r="H685" s="45">
        <f t="shared" si="12"/>
        <v>0</v>
      </c>
      <c r="I685" s="1">
        <v>0</v>
      </c>
    </row>
    <row r="686" spans="2:9" hidden="1" x14ac:dyDescent="0.25">
      <c r="B686" s="32">
        <v>4600583929765</v>
      </c>
      <c r="C686" s="53" t="s">
        <v>444</v>
      </c>
      <c r="D686" s="31" t="s">
        <v>229</v>
      </c>
      <c r="E686" s="10">
        <v>112900</v>
      </c>
      <c r="F686" s="34"/>
      <c r="G686" s="34"/>
      <c r="H686" s="12">
        <f t="shared" si="12"/>
        <v>0</v>
      </c>
      <c r="I686" s="1">
        <v>0</v>
      </c>
    </row>
    <row r="687" spans="2:9" hidden="1" x14ac:dyDescent="0.25">
      <c r="B687" s="32">
        <v>4600583929772</v>
      </c>
      <c r="C687" s="53" t="s">
        <v>444</v>
      </c>
      <c r="D687" s="31" t="s">
        <v>230</v>
      </c>
      <c r="E687" s="10">
        <v>112900</v>
      </c>
      <c r="F687" s="34"/>
      <c r="G687" s="34"/>
      <c r="H687" s="12">
        <f t="shared" si="12"/>
        <v>0</v>
      </c>
      <c r="I687" s="1">
        <v>0</v>
      </c>
    </row>
    <row r="688" spans="2:9" hidden="1" x14ac:dyDescent="0.25">
      <c r="B688" s="32">
        <v>4600583930297</v>
      </c>
      <c r="C688" s="53" t="s">
        <v>444</v>
      </c>
      <c r="D688" s="31" t="s">
        <v>231</v>
      </c>
      <c r="E688" s="10">
        <v>112900</v>
      </c>
      <c r="F688" s="34"/>
      <c r="G688" s="34"/>
      <c r="H688" s="12">
        <f t="shared" si="12"/>
        <v>0</v>
      </c>
      <c r="I688" s="1">
        <v>0</v>
      </c>
    </row>
    <row r="689" spans="2:9" hidden="1" x14ac:dyDescent="0.25">
      <c r="B689" s="32">
        <v>4600583930266</v>
      </c>
      <c r="C689" s="53" t="s">
        <v>444</v>
      </c>
      <c r="D689" s="31" t="s">
        <v>232</v>
      </c>
      <c r="E689" s="10">
        <v>87450</v>
      </c>
      <c r="F689" s="34"/>
      <c r="G689" s="34"/>
      <c r="H689" s="12">
        <f t="shared" si="12"/>
        <v>0</v>
      </c>
      <c r="I689" s="1">
        <v>0</v>
      </c>
    </row>
    <row r="690" spans="2:9" hidden="1" x14ac:dyDescent="0.25">
      <c r="B690" s="32">
        <v>4600583932475</v>
      </c>
      <c r="C690" s="53" t="s">
        <v>444</v>
      </c>
      <c r="D690" s="31" t="s">
        <v>331</v>
      </c>
      <c r="E690" s="10">
        <v>25500</v>
      </c>
      <c r="F690" s="34"/>
      <c r="G690" s="34"/>
      <c r="H690" s="12">
        <f t="shared" si="12"/>
        <v>0</v>
      </c>
      <c r="I690" s="1">
        <v>0</v>
      </c>
    </row>
    <row r="691" spans="2:9" hidden="1" x14ac:dyDescent="0.25">
      <c r="B691" s="32">
        <v>4600583930310</v>
      </c>
      <c r="C691" s="53" t="s">
        <v>444</v>
      </c>
      <c r="D691" s="31" t="s">
        <v>332</v>
      </c>
      <c r="E691" s="10">
        <v>25500</v>
      </c>
      <c r="F691" s="33"/>
      <c r="G691" s="33"/>
      <c r="H691" s="10">
        <f t="shared" si="12"/>
        <v>0</v>
      </c>
      <c r="I691" s="1">
        <v>0</v>
      </c>
    </row>
    <row r="692" spans="2:9" hidden="1" x14ac:dyDescent="0.25">
      <c r="B692" s="32">
        <v>4600583932130</v>
      </c>
      <c r="C692" s="53" t="s">
        <v>444</v>
      </c>
      <c r="D692" s="31" t="s">
        <v>333</v>
      </c>
      <c r="E692" s="10">
        <v>25500</v>
      </c>
      <c r="F692" s="48"/>
      <c r="G692" s="48"/>
      <c r="H692" s="14">
        <f t="shared" si="12"/>
        <v>0</v>
      </c>
      <c r="I692" s="1">
        <v>0</v>
      </c>
    </row>
    <row r="693" spans="2:9" hidden="1" x14ac:dyDescent="0.25">
      <c r="B693" s="32">
        <v>4600583931140</v>
      </c>
      <c r="C693" s="53" t="s">
        <v>444</v>
      </c>
      <c r="D693" s="31" t="s">
        <v>221</v>
      </c>
      <c r="E693" s="10">
        <v>5650</v>
      </c>
      <c r="F693" s="34"/>
      <c r="G693" s="34"/>
      <c r="H693" s="12">
        <f t="shared" si="12"/>
        <v>0</v>
      </c>
      <c r="I693" s="1">
        <v>0</v>
      </c>
    </row>
    <row r="694" spans="2:9" hidden="1" x14ac:dyDescent="0.25">
      <c r="B694" s="32">
        <v>4600583931485</v>
      </c>
      <c r="C694" s="53" t="s">
        <v>444</v>
      </c>
      <c r="D694" s="30" t="s">
        <v>222</v>
      </c>
      <c r="E694" s="18">
        <v>5650</v>
      </c>
      <c r="F694" s="33"/>
      <c r="G694" s="33"/>
      <c r="H694" s="15">
        <f t="shared" si="12"/>
        <v>0</v>
      </c>
      <c r="I694" s="1">
        <v>0</v>
      </c>
    </row>
    <row r="695" spans="2:9" hidden="1" x14ac:dyDescent="0.25">
      <c r="B695" s="32">
        <v>4600583931508</v>
      </c>
      <c r="C695" s="53" t="s">
        <v>444</v>
      </c>
      <c r="D695" s="30" t="s">
        <v>223</v>
      </c>
      <c r="E695" s="18">
        <v>5000</v>
      </c>
      <c r="F695" s="33"/>
      <c r="G695" s="33"/>
      <c r="H695" s="15">
        <f t="shared" si="12"/>
        <v>0</v>
      </c>
      <c r="I695" s="1">
        <v>0</v>
      </c>
    </row>
    <row r="696" spans="2:9" hidden="1" x14ac:dyDescent="0.25">
      <c r="B696" s="32">
        <v>4600583931324</v>
      </c>
      <c r="C696" s="53" t="s">
        <v>444</v>
      </c>
      <c r="D696" s="30" t="s">
        <v>224</v>
      </c>
      <c r="E696" s="18">
        <v>5000</v>
      </c>
      <c r="F696" s="33"/>
      <c r="G696" s="33"/>
      <c r="H696" s="15">
        <f t="shared" si="12"/>
        <v>0</v>
      </c>
      <c r="I696" s="1">
        <v>0</v>
      </c>
    </row>
    <row r="697" spans="2:9" hidden="1" x14ac:dyDescent="0.25">
      <c r="B697" s="32">
        <v>4600583931508</v>
      </c>
      <c r="C697" s="53" t="s">
        <v>444</v>
      </c>
      <c r="D697" s="31" t="s">
        <v>225</v>
      </c>
      <c r="E697" s="18">
        <v>5000</v>
      </c>
      <c r="F697" s="34"/>
      <c r="G697" s="34"/>
      <c r="H697" s="12">
        <f t="shared" si="12"/>
        <v>0</v>
      </c>
      <c r="I697" s="1">
        <v>0</v>
      </c>
    </row>
    <row r="698" spans="2:9" hidden="1" x14ac:dyDescent="0.25">
      <c r="B698" s="32">
        <v>4600583931324</v>
      </c>
      <c r="C698" s="53" t="s">
        <v>444</v>
      </c>
      <c r="D698" s="30" t="s">
        <v>226</v>
      </c>
      <c r="E698" s="18">
        <v>5000</v>
      </c>
      <c r="F698" s="33"/>
      <c r="G698" s="33"/>
      <c r="H698" s="15">
        <f t="shared" si="12"/>
        <v>0</v>
      </c>
      <c r="I698" s="1">
        <v>0</v>
      </c>
    </row>
    <row r="699" spans="2:9" hidden="1" x14ac:dyDescent="0.25">
      <c r="B699" s="32"/>
      <c r="C699" s="53" t="s">
        <v>444</v>
      </c>
      <c r="D699" s="30" t="s">
        <v>334</v>
      </c>
      <c r="E699" s="18">
        <v>6050</v>
      </c>
      <c r="F699" s="33"/>
      <c r="G699" s="33"/>
      <c r="H699" s="15">
        <f t="shared" si="12"/>
        <v>0</v>
      </c>
      <c r="I699" s="1">
        <v>0</v>
      </c>
    </row>
    <row r="700" spans="2:9" hidden="1" x14ac:dyDescent="0.25">
      <c r="B700" s="32">
        <v>4600583931980</v>
      </c>
      <c r="C700" s="53" t="s">
        <v>444</v>
      </c>
      <c r="D700" s="31" t="s">
        <v>227</v>
      </c>
      <c r="E700" s="18">
        <v>6050</v>
      </c>
      <c r="F700" s="34"/>
      <c r="G700" s="34"/>
      <c r="H700" s="12">
        <f t="shared" si="12"/>
        <v>0</v>
      </c>
      <c r="I700" s="1">
        <v>0</v>
      </c>
    </row>
    <row r="701" spans="2:9" hidden="1" x14ac:dyDescent="0.25">
      <c r="B701" s="32">
        <v>4600583932130</v>
      </c>
      <c r="C701" s="53" t="s">
        <v>444</v>
      </c>
      <c r="D701" s="30" t="s">
        <v>228</v>
      </c>
      <c r="E701" s="18">
        <v>6050</v>
      </c>
      <c r="F701" s="33"/>
      <c r="G701" s="33"/>
      <c r="H701" s="15">
        <f t="shared" si="12"/>
        <v>0</v>
      </c>
      <c r="I701" s="1">
        <v>0</v>
      </c>
    </row>
    <row r="702" spans="2:9" hidden="1" x14ac:dyDescent="0.25">
      <c r="B702" s="32">
        <v>4600583931881</v>
      </c>
      <c r="C702" s="53" t="s">
        <v>444</v>
      </c>
      <c r="D702" s="31" t="s">
        <v>233</v>
      </c>
      <c r="E702" s="45">
        <v>5000</v>
      </c>
      <c r="F702" s="48"/>
      <c r="G702" s="48"/>
      <c r="H702" s="45">
        <f t="shared" si="12"/>
        <v>0</v>
      </c>
      <c r="I702" s="1">
        <v>0</v>
      </c>
    </row>
    <row r="703" spans="2:9" hidden="1" x14ac:dyDescent="0.25">
      <c r="B703" s="32">
        <v>4600583931980</v>
      </c>
      <c r="C703" s="53" t="s">
        <v>444</v>
      </c>
      <c r="D703" s="31" t="s">
        <v>234</v>
      </c>
      <c r="E703" s="45">
        <v>5000</v>
      </c>
      <c r="F703" s="48"/>
      <c r="G703" s="48"/>
      <c r="H703" s="45">
        <f t="shared" si="12"/>
        <v>0</v>
      </c>
      <c r="I703" s="1">
        <v>0</v>
      </c>
    </row>
    <row r="704" spans="2:9" hidden="1" x14ac:dyDescent="0.25">
      <c r="B704" s="32">
        <v>4600583931843</v>
      </c>
      <c r="C704" s="53" t="s">
        <v>444</v>
      </c>
      <c r="D704" s="31" t="s">
        <v>435</v>
      </c>
      <c r="E704" s="45">
        <v>5000</v>
      </c>
      <c r="F704" s="48"/>
      <c r="G704" s="48"/>
      <c r="H704" s="45">
        <f t="shared" si="12"/>
        <v>0</v>
      </c>
      <c r="I704" s="1">
        <v>0</v>
      </c>
    </row>
    <row r="705" spans="2:9" hidden="1" x14ac:dyDescent="0.25">
      <c r="B705" s="32">
        <v>4600583931966</v>
      </c>
      <c r="C705" s="53" t="s">
        <v>444</v>
      </c>
      <c r="D705" s="31" t="s">
        <v>436</v>
      </c>
      <c r="E705" s="45">
        <v>5000</v>
      </c>
      <c r="F705" s="48"/>
      <c r="G705" s="48"/>
      <c r="H705" s="45">
        <f t="shared" si="12"/>
        <v>0</v>
      </c>
      <c r="I705" s="1">
        <v>0</v>
      </c>
    </row>
    <row r="706" spans="2:9" hidden="1" x14ac:dyDescent="0.25">
      <c r="B706" s="32">
        <v>4600583931904</v>
      </c>
      <c r="C706" s="53" t="s">
        <v>444</v>
      </c>
      <c r="D706" s="31" t="s">
        <v>437</v>
      </c>
      <c r="E706" s="45">
        <v>5000</v>
      </c>
      <c r="F706" s="48"/>
      <c r="G706" s="48"/>
      <c r="H706" s="45">
        <f t="shared" si="12"/>
        <v>0</v>
      </c>
      <c r="I706" s="1">
        <v>0</v>
      </c>
    </row>
    <row r="707" spans="2:9" hidden="1" x14ac:dyDescent="0.25">
      <c r="B707" s="32">
        <v>4600583933687</v>
      </c>
      <c r="C707" s="53" t="s">
        <v>444</v>
      </c>
      <c r="D707" s="31" t="s">
        <v>335</v>
      </c>
      <c r="E707" s="45">
        <v>6250</v>
      </c>
      <c r="F707" s="48"/>
      <c r="G707" s="48"/>
      <c r="H707" s="45">
        <f t="shared" si="12"/>
        <v>0</v>
      </c>
      <c r="I707" s="1">
        <v>0</v>
      </c>
    </row>
    <row r="708" spans="2:9" hidden="1" x14ac:dyDescent="0.25">
      <c r="B708" s="32">
        <v>4600583933649</v>
      </c>
      <c r="C708" s="53" t="s">
        <v>444</v>
      </c>
      <c r="D708" s="31" t="s">
        <v>336</v>
      </c>
      <c r="E708" s="45">
        <v>6250</v>
      </c>
      <c r="F708" s="48"/>
      <c r="G708" s="48"/>
      <c r="H708" s="45">
        <f t="shared" si="12"/>
        <v>0</v>
      </c>
      <c r="I708" s="1">
        <v>0</v>
      </c>
    </row>
    <row r="709" spans="2:9" ht="18.75" hidden="1" x14ac:dyDescent="0.3">
      <c r="B709" s="105">
        <v>4602076001033</v>
      </c>
      <c r="C709" s="70" t="s">
        <v>613</v>
      </c>
      <c r="D709" s="88" t="s">
        <v>614</v>
      </c>
      <c r="E709" s="72">
        <v>28750</v>
      </c>
      <c r="F709" s="106"/>
      <c r="G709" s="72" t="s">
        <v>462</v>
      </c>
      <c r="H709" s="72">
        <f t="shared" si="12"/>
        <v>0</v>
      </c>
      <c r="I709" s="1">
        <v>0</v>
      </c>
    </row>
    <row r="710" spans="2:9" ht="18.75" hidden="1" x14ac:dyDescent="0.3">
      <c r="B710" s="105">
        <v>4602076000821</v>
      </c>
      <c r="C710" s="70" t="s">
        <v>613</v>
      </c>
      <c r="D710" s="107" t="s">
        <v>615</v>
      </c>
      <c r="E710" s="70">
        <v>27500</v>
      </c>
      <c r="F710" s="106"/>
      <c r="G710" s="72" t="s">
        <v>462</v>
      </c>
      <c r="H710" s="72">
        <f t="shared" si="12"/>
        <v>0</v>
      </c>
      <c r="I710" s="1">
        <v>0</v>
      </c>
    </row>
    <row r="711" spans="2:9" ht="18.75" hidden="1" x14ac:dyDescent="0.3">
      <c r="B711" s="105">
        <v>4602076000180</v>
      </c>
      <c r="C711" s="70" t="s">
        <v>613</v>
      </c>
      <c r="D711" s="107" t="s">
        <v>656</v>
      </c>
      <c r="E711" s="70">
        <v>17500</v>
      </c>
      <c r="F711" s="106"/>
      <c r="G711" s="72" t="s">
        <v>462</v>
      </c>
      <c r="H711" s="72">
        <f t="shared" si="12"/>
        <v>0</v>
      </c>
      <c r="I711" s="1">
        <v>0</v>
      </c>
    </row>
    <row r="712" spans="2:9" ht="18.75" hidden="1" x14ac:dyDescent="0.3">
      <c r="B712" s="105">
        <v>4602076000296</v>
      </c>
      <c r="C712" s="70" t="s">
        <v>613</v>
      </c>
      <c r="D712" s="107" t="s">
        <v>657</v>
      </c>
      <c r="E712" s="70">
        <v>17500</v>
      </c>
      <c r="F712" s="106"/>
      <c r="G712" s="72" t="s">
        <v>462</v>
      </c>
      <c r="H712" s="72">
        <f t="shared" si="12"/>
        <v>0</v>
      </c>
      <c r="I712" s="1">
        <v>0</v>
      </c>
    </row>
    <row r="713" spans="2:9" ht="18.75" hidden="1" x14ac:dyDescent="0.3">
      <c r="B713" s="105">
        <v>4602076001941</v>
      </c>
      <c r="C713" s="70" t="s">
        <v>613</v>
      </c>
      <c r="D713" s="107" t="s">
        <v>658</v>
      </c>
      <c r="E713" s="70">
        <v>29000</v>
      </c>
      <c r="F713" s="106"/>
      <c r="G713" s="72" t="s">
        <v>462</v>
      </c>
      <c r="H713" s="72">
        <f t="shared" si="12"/>
        <v>0</v>
      </c>
      <c r="I713" s="1">
        <v>0</v>
      </c>
    </row>
    <row r="714" spans="2:9" ht="18.75" hidden="1" x14ac:dyDescent="0.3">
      <c r="B714" s="105">
        <v>4602076001972</v>
      </c>
      <c r="C714" s="70" t="s">
        <v>613</v>
      </c>
      <c r="D714" s="107" t="s">
        <v>616</v>
      </c>
      <c r="E714" s="70">
        <v>28000</v>
      </c>
      <c r="F714" s="108"/>
      <c r="G714" s="72" t="s">
        <v>462</v>
      </c>
      <c r="H714" s="72">
        <f t="shared" si="12"/>
        <v>0</v>
      </c>
      <c r="I714" s="1">
        <v>0</v>
      </c>
    </row>
    <row r="715" spans="2:9" ht="18.75" hidden="1" x14ac:dyDescent="0.3">
      <c r="B715" s="105">
        <v>4602076001682</v>
      </c>
      <c r="C715" s="70" t="s">
        <v>613</v>
      </c>
      <c r="D715" s="107" t="s">
        <v>617</v>
      </c>
      <c r="E715" s="70">
        <v>28000</v>
      </c>
      <c r="F715" s="108"/>
      <c r="G715" s="72" t="s">
        <v>462</v>
      </c>
      <c r="H715" s="72">
        <f t="shared" si="12"/>
        <v>0</v>
      </c>
      <c r="I715" s="1">
        <v>0</v>
      </c>
    </row>
    <row r="716" spans="2:9" ht="18.75" hidden="1" x14ac:dyDescent="0.3">
      <c r="B716" s="105">
        <v>4602076001026</v>
      </c>
      <c r="C716" s="70" t="s">
        <v>613</v>
      </c>
      <c r="D716" s="107" t="s">
        <v>626</v>
      </c>
      <c r="E716" s="72">
        <v>41500</v>
      </c>
      <c r="F716" s="106"/>
      <c r="G716" s="72" t="s">
        <v>462</v>
      </c>
      <c r="H716" s="72">
        <f t="shared" si="12"/>
        <v>0</v>
      </c>
      <c r="I716" s="1">
        <v>0</v>
      </c>
    </row>
    <row r="717" spans="2:9" ht="18.75" hidden="1" x14ac:dyDescent="0.3">
      <c r="B717" s="105">
        <v>4602076002023</v>
      </c>
      <c r="C717" s="70" t="s">
        <v>613</v>
      </c>
      <c r="D717" s="88" t="s">
        <v>618</v>
      </c>
      <c r="E717" s="70">
        <v>90000</v>
      </c>
      <c r="F717" s="106"/>
      <c r="G717" s="72" t="s">
        <v>462</v>
      </c>
      <c r="H717" s="72">
        <f t="shared" si="12"/>
        <v>0</v>
      </c>
      <c r="I717" s="1">
        <v>0</v>
      </c>
    </row>
    <row r="718" spans="2:9" ht="18.75" hidden="1" x14ac:dyDescent="0.3">
      <c r="B718" s="105">
        <v>4602076001095</v>
      </c>
      <c r="C718" s="70" t="s">
        <v>613</v>
      </c>
      <c r="D718" s="88" t="s">
        <v>619</v>
      </c>
      <c r="E718" s="70">
        <v>155000</v>
      </c>
      <c r="F718" s="109"/>
      <c r="G718" s="72" t="s">
        <v>462</v>
      </c>
      <c r="H718" s="83">
        <f t="shared" si="12"/>
        <v>0</v>
      </c>
      <c r="I718" s="1">
        <v>0</v>
      </c>
    </row>
    <row r="719" spans="2:9" ht="18.75" hidden="1" x14ac:dyDescent="0.3">
      <c r="B719" s="105">
        <v>4602076001958</v>
      </c>
      <c r="C719" s="70" t="s">
        <v>613</v>
      </c>
      <c r="D719" s="88" t="s">
        <v>620</v>
      </c>
      <c r="E719" s="70">
        <v>350000</v>
      </c>
      <c r="F719" s="109"/>
      <c r="G719" s="72" t="s">
        <v>462</v>
      </c>
      <c r="H719" s="83">
        <f t="shared" si="12"/>
        <v>0</v>
      </c>
      <c r="I719" s="1">
        <v>0</v>
      </c>
    </row>
    <row r="720" spans="2:9" ht="18.75" hidden="1" x14ac:dyDescent="0.3">
      <c r="B720" s="105">
        <v>4602076001101</v>
      </c>
      <c r="C720" s="70" t="s">
        <v>613</v>
      </c>
      <c r="D720" s="88" t="s">
        <v>621</v>
      </c>
      <c r="E720" s="70">
        <v>300000</v>
      </c>
      <c r="F720" s="109"/>
      <c r="G720" s="72" t="s">
        <v>462</v>
      </c>
      <c r="H720" s="83">
        <f t="shared" si="12"/>
        <v>0</v>
      </c>
      <c r="I720" s="1">
        <v>0</v>
      </c>
    </row>
    <row r="721" spans="2:9" ht="18.75" hidden="1" x14ac:dyDescent="0.3">
      <c r="B721" s="105">
        <v>4602076000357</v>
      </c>
      <c r="C721" s="70" t="s">
        <v>613</v>
      </c>
      <c r="D721" s="88" t="s">
        <v>622</v>
      </c>
      <c r="E721" s="70">
        <v>46000</v>
      </c>
      <c r="F721" s="106"/>
      <c r="G721" s="72" t="s">
        <v>462</v>
      </c>
      <c r="H721" s="72">
        <f t="shared" si="12"/>
        <v>0</v>
      </c>
      <c r="I721" s="1">
        <v>0</v>
      </c>
    </row>
    <row r="722" spans="2:9" ht="18.75" hidden="1" x14ac:dyDescent="0.3">
      <c r="B722" s="105">
        <v>4602076000999</v>
      </c>
      <c r="C722" s="70" t="s">
        <v>613</v>
      </c>
      <c r="D722" s="88" t="s">
        <v>625</v>
      </c>
      <c r="E722" s="70">
        <v>46000</v>
      </c>
      <c r="F722" s="106"/>
      <c r="G722" s="72" t="s">
        <v>462</v>
      </c>
      <c r="H722" s="72">
        <f t="shared" si="12"/>
        <v>0</v>
      </c>
      <c r="I722" s="1">
        <v>0</v>
      </c>
    </row>
    <row r="723" spans="2:9" ht="18.75" hidden="1" x14ac:dyDescent="0.3">
      <c r="B723" s="105">
        <v>4602076000364</v>
      </c>
      <c r="C723" s="70" t="s">
        <v>613</v>
      </c>
      <c r="D723" s="88" t="s">
        <v>624</v>
      </c>
      <c r="E723" s="70">
        <v>50000</v>
      </c>
      <c r="F723" s="106"/>
      <c r="G723" s="72" t="s">
        <v>462</v>
      </c>
      <c r="H723" s="72">
        <f t="shared" si="12"/>
        <v>0</v>
      </c>
      <c r="I723" s="1">
        <v>0</v>
      </c>
    </row>
    <row r="724" spans="2:9" ht="18.75" hidden="1" x14ac:dyDescent="0.3">
      <c r="B724" s="105">
        <v>4602076001019</v>
      </c>
      <c r="C724" s="70" t="s">
        <v>613</v>
      </c>
      <c r="D724" s="88" t="s">
        <v>623</v>
      </c>
      <c r="E724" s="70">
        <v>50000</v>
      </c>
      <c r="F724" s="106"/>
      <c r="G724" s="72" t="s">
        <v>462</v>
      </c>
      <c r="H724" s="72">
        <f t="shared" si="12"/>
        <v>0</v>
      </c>
      <c r="I724" s="1">
        <v>0</v>
      </c>
    </row>
    <row r="725" spans="2:9" ht="18" hidden="1" customHeight="1" x14ac:dyDescent="0.3">
      <c r="B725" s="105">
        <v>4602076000371</v>
      </c>
      <c r="C725" s="70" t="s">
        <v>613</v>
      </c>
      <c r="D725" s="88" t="s">
        <v>659</v>
      </c>
      <c r="E725" s="70">
        <v>65000</v>
      </c>
      <c r="F725" s="106"/>
      <c r="G725" s="72" t="s">
        <v>462</v>
      </c>
      <c r="H725" s="72">
        <f t="shared" si="12"/>
        <v>0</v>
      </c>
      <c r="I725" s="1">
        <v>0</v>
      </c>
    </row>
    <row r="726" spans="2:9" ht="18.75" hidden="1" x14ac:dyDescent="0.3">
      <c r="B726" s="105"/>
      <c r="C726" s="70" t="s">
        <v>444</v>
      </c>
      <c r="D726" s="88" t="s">
        <v>235</v>
      </c>
      <c r="E726" s="70">
        <v>1150</v>
      </c>
      <c r="F726" s="108"/>
      <c r="G726" s="108"/>
      <c r="H726" s="70">
        <f t="shared" si="12"/>
        <v>0</v>
      </c>
      <c r="I726" s="1">
        <v>0</v>
      </c>
    </row>
    <row r="727" spans="2:9" ht="18.75" hidden="1" x14ac:dyDescent="0.3">
      <c r="B727" s="105"/>
      <c r="C727" s="70" t="s">
        <v>444</v>
      </c>
      <c r="D727" s="88" t="s">
        <v>236</v>
      </c>
      <c r="E727" s="70">
        <v>1150</v>
      </c>
      <c r="F727" s="106"/>
      <c r="G727" s="106"/>
      <c r="H727" s="72">
        <f>+F727*E727</f>
        <v>0</v>
      </c>
      <c r="I727" s="1">
        <v>0</v>
      </c>
    </row>
    <row r="728" spans="2:9" ht="18.75" hidden="1" x14ac:dyDescent="0.3">
      <c r="B728" s="105"/>
      <c r="C728" s="70" t="s">
        <v>444</v>
      </c>
      <c r="D728" s="88" t="s">
        <v>237</v>
      </c>
      <c r="E728" s="70">
        <v>1150</v>
      </c>
      <c r="F728" s="106"/>
      <c r="G728" s="106"/>
      <c r="H728" s="72">
        <f t="shared" si="12"/>
        <v>0</v>
      </c>
      <c r="I728" s="1">
        <v>0</v>
      </c>
    </row>
    <row r="729" spans="2:9" ht="18.75" hidden="1" x14ac:dyDescent="0.3">
      <c r="B729" s="105"/>
      <c r="C729" s="70" t="s">
        <v>444</v>
      </c>
      <c r="D729" s="88" t="s">
        <v>238</v>
      </c>
      <c r="E729" s="70">
        <v>1733</v>
      </c>
      <c r="F729" s="109"/>
      <c r="G729" s="109"/>
      <c r="H729" s="83">
        <f>+F729*E729</f>
        <v>0</v>
      </c>
      <c r="I729" s="1">
        <v>0</v>
      </c>
    </row>
    <row r="730" spans="2:9" ht="18.75" hidden="1" x14ac:dyDescent="0.3">
      <c r="B730" s="133"/>
      <c r="C730" s="134"/>
      <c r="D730" s="134"/>
      <c r="E730" s="134"/>
      <c r="F730" s="135"/>
      <c r="G730" s="79"/>
      <c r="H730" s="35"/>
    </row>
    <row r="731" spans="2:9" ht="18.75" x14ac:dyDescent="0.3">
      <c r="B731" s="75"/>
      <c r="C731" s="75"/>
      <c r="D731" s="75"/>
      <c r="E731" s="81" t="s">
        <v>503</v>
      </c>
      <c r="F731" s="81">
        <f>SUBTOTAL(9,F8:F729)</f>
        <v>935</v>
      </c>
      <c r="G731" s="75"/>
      <c r="H731" s="36"/>
    </row>
    <row r="732" spans="2:9" ht="18.75" x14ac:dyDescent="0.3">
      <c r="B732" s="75"/>
      <c r="C732" s="75"/>
      <c r="D732" s="67"/>
      <c r="E732" s="66"/>
      <c r="G732" s="57"/>
      <c r="H732" s="80">
        <f>SUBTOTAL(9,H8:H729)</f>
        <v>5678500</v>
      </c>
    </row>
    <row r="733" spans="2:9" ht="19.5" thickBot="1" x14ac:dyDescent="0.35">
      <c r="B733" s="61" t="s">
        <v>239</v>
      </c>
      <c r="C733" s="61"/>
      <c r="D733" s="76"/>
      <c r="E733" s="66"/>
      <c r="F733" s="66"/>
      <c r="G733" s="66"/>
      <c r="H733" s="66"/>
    </row>
    <row r="734" spans="2:9" ht="18.75" x14ac:dyDescent="0.3">
      <c r="B734" s="75"/>
      <c r="C734" s="75"/>
      <c r="D734" s="67"/>
      <c r="E734" s="66"/>
      <c r="F734" s="66"/>
      <c r="G734" s="66"/>
      <c r="H734" s="66"/>
    </row>
    <row r="735" spans="2:9" ht="0.75" customHeight="1" x14ac:dyDescent="0.3">
      <c r="B735" s="75"/>
      <c r="C735" s="75"/>
      <c r="D735" s="67"/>
      <c r="E735" s="66"/>
      <c r="F735" s="77"/>
      <c r="G735" s="77"/>
      <c r="H735" s="66"/>
    </row>
    <row r="736" spans="2:9" ht="19.5" thickBot="1" x14ac:dyDescent="0.35">
      <c r="B736" s="61" t="s">
        <v>0</v>
      </c>
      <c r="C736" s="61"/>
      <c r="D736" s="76"/>
      <c r="E736" s="66"/>
      <c r="F736" s="66"/>
      <c r="G736" s="66"/>
      <c r="H736" s="66"/>
    </row>
    <row r="737" spans="2:10" ht="18.75" x14ac:dyDescent="0.3">
      <c r="B737" s="75"/>
      <c r="C737" s="75"/>
      <c r="D737" s="67"/>
      <c r="E737" s="66"/>
      <c r="F737" s="66"/>
      <c r="G737" s="66"/>
      <c r="H737" s="66"/>
    </row>
    <row r="738" spans="2:10" x14ac:dyDescent="0.25">
      <c r="B738" s="37"/>
      <c r="C738" s="37"/>
      <c r="D738" s="3"/>
      <c r="E738" s="2"/>
      <c r="F738" s="2"/>
      <c r="G738" s="2"/>
      <c r="H738" s="2"/>
    </row>
    <row r="739" spans="2:10" s="39" customFormat="1" x14ac:dyDescent="0.25">
      <c r="B739" s="38"/>
      <c r="C739" s="38"/>
      <c r="E739" s="1"/>
      <c r="F739" s="1"/>
      <c r="G739" s="1"/>
      <c r="H739" s="1"/>
      <c r="I739" s="1"/>
      <c r="J739" s="1"/>
    </row>
  </sheetData>
  <autoFilter ref="B7:I729" xr:uid="{00000000-0009-0000-0000-000003000000}">
    <filterColumn colId="4">
      <customFilters>
        <customFilter operator="notEqual" val=" "/>
      </customFilters>
    </filterColumn>
    <filterColumn colId="7">
      <filters>
        <filter val="1"/>
      </filters>
    </filterColumn>
  </autoFilter>
  <mergeCells count="1">
    <mergeCell ref="B730:F730"/>
  </mergeCells>
  <pageMargins left="0.17" right="0.17" top="0.17" bottom="0.32" header="0.17" footer="0.17"/>
  <pageSetup paperSize="9" scale="6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ХЛЕБЦЫ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2025-09-22T03:59:23Z</cp:lastPrinted>
  <dcterms:created xsi:type="dcterms:W3CDTF">2014-07-01T12:29:38Z</dcterms:created>
  <dcterms:modified xsi:type="dcterms:W3CDTF">2026-08-13T11:31:55Z</dcterms:modified>
</cp:coreProperties>
</file>